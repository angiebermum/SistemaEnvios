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gieBermudez\Downloads\Reportes Aseguradoras\Reportes\Detalle corredores\"/>
    </mc:Choice>
  </mc:AlternateContent>
  <xr:revisionPtr revIDLastSave="0" documentId="13_ncr:1_{381D8C9A-A3E0-47F6-AD5D-6429171FE4C0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Detalle" sheetId="1" r:id="rId1"/>
    <sheet name="Monto de factura" sheetId="2" r:id="rId2"/>
    <sheet name="REBAJO" sheetId="3" r:id="rId3"/>
  </sheets>
  <definedNames>
    <definedName name="_xlnm._FilterDatabase" localSheetId="0" hidden="1">Detalle!#REF!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2" l="1"/>
  <c r="L7" i="2"/>
  <c r="F7" i="2"/>
  <c r="L129" i="1"/>
  <c r="L130" i="1" s="1"/>
  <c r="L112" i="1"/>
  <c r="L115" i="1" s="1"/>
  <c r="L131" i="1" l="1"/>
  <c r="L133" i="1" s="1"/>
  <c r="L113" i="1"/>
  <c r="L114" i="1"/>
  <c r="L116" i="1" s="1"/>
  <c r="L132" i="1"/>
  <c r="C21" i="3" l="1"/>
  <c r="C19" i="3"/>
  <c r="K11" i="3" l="1"/>
  <c r="C3" i="3" s="1"/>
  <c r="F12" i="2" l="1"/>
  <c r="L10" i="2" l="1"/>
  <c r="L8" i="2" l="1"/>
  <c r="L9" i="2" s="1"/>
  <c r="L12" i="2" s="1"/>
  <c r="L11" i="3" l="1"/>
  <c r="E14" i="3" l="1"/>
  <c r="J9" i="3"/>
  <c r="I9" i="3"/>
  <c r="A3" i="3"/>
  <c r="F9" i="3" l="1"/>
  <c r="D3" i="3"/>
  <c r="F8" i="2" s="1"/>
  <c r="H9" i="3"/>
  <c r="D4" i="3" l="1"/>
  <c r="D6" i="3" s="1"/>
  <c r="H4" i="2"/>
  <c r="F9" i="2" l="1"/>
  <c r="F13" i="2" l="1"/>
  <c r="F10" i="2"/>
  <c r="F11" i="2" s="1"/>
  <c r="F14" i="2" l="1"/>
</calcChain>
</file>

<file path=xl/sharedStrings.xml><?xml version="1.0" encoding="utf-8"?>
<sst xmlns="http://schemas.openxmlformats.org/spreadsheetml/2006/main" count="1167" uniqueCount="269">
  <si>
    <t xml:space="preserve">Corredor </t>
  </si>
  <si>
    <t xml:space="preserve">Monto depositado </t>
  </si>
  <si>
    <t>Monto Factura</t>
  </si>
  <si>
    <t xml:space="preserve">COLONES </t>
  </si>
  <si>
    <t>Monto bruto comison</t>
  </si>
  <si>
    <t>I.V.A</t>
  </si>
  <si>
    <t>Retencion 2%</t>
  </si>
  <si>
    <t>Aseguradora</t>
  </si>
  <si>
    <t>Moneda</t>
  </si>
  <si>
    <t>Prima</t>
  </si>
  <si>
    <t>% Corredor</t>
  </si>
  <si>
    <t>Total Final</t>
  </si>
  <si>
    <t>RENO</t>
  </si>
  <si>
    <t>EMIS</t>
  </si>
  <si>
    <t>ARTURO QUESADA</t>
  </si>
  <si>
    <t>INS</t>
  </si>
  <si>
    <t>Observación</t>
  </si>
  <si>
    <t>Código</t>
  </si>
  <si>
    <t>43</t>
  </si>
  <si>
    <t>REBAJO QUINCENAL POR CONCEPTO DE PAGO DE SALARIOS</t>
  </si>
  <si>
    <t>TOTAL MENSUAL</t>
  </si>
  <si>
    <t>QUINCENAL</t>
  </si>
  <si>
    <t>TOTAL REBAJO QUINCENAL</t>
  </si>
  <si>
    <t>T.C.</t>
  </si>
  <si>
    <t xml:space="preserve">Monto a favor </t>
  </si>
  <si>
    <t>REBAJO EN COLONES</t>
  </si>
  <si>
    <t>REBAJO EN DOLARES</t>
  </si>
  <si>
    <t xml:space="preserve">TOTAL REBAJO </t>
  </si>
  <si>
    <t>MONTO EN DOLARES</t>
  </si>
  <si>
    <t>.</t>
  </si>
  <si>
    <t>Salario</t>
  </si>
  <si>
    <t>CCSS</t>
  </si>
  <si>
    <t>Aguinaldo</t>
  </si>
  <si>
    <t>Vacaciones</t>
  </si>
  <si>
    <t>Preaviso</t>
  </si>
  <si>
    <t>Cesantía</t>
  </si>
  <si>
    <t>Total</t>
  </si>
  <si>
    <t>* calculado a 30 días, pese a que el primer año es variable</t>
  </si>
  <si>
    <t>Fijo</t>
  </si>
  <si>
    <t>Estimado</t>
  </si>
  <si>
    <t>REBAJOS:</t>
  </si>
  <si>
    <t>SUBTOTAL:</t>
  </si>
  <si>
    <t>Ahorro</t>
  </si>
  <si>
    <t>Trans.</t>
  </si>
  <si>
    <t>Categoría</t>
  </si>
  <si>
    <t>QUALITAS</t>
  </si>
  <si>
    <t>DOLARES</t>
  </si>
  <si>
    <t>AJUS</t>
  </si>
  <si>
    <t>Colones</t>
  </si>
  <si>
    <t>Dólares</t>
  </si>
  <si>
    <t>MARIA JOSÉ</t>
  </si>
  <si>
    <t>Corredor</t>
  </si>
  <si>
    <t>Póliza</t>
  </si>
  <si>
    <t>Asegurado</t>
  </si>
  <si>
    <t>Comisión Bruta</t>
  </si>
  <si>
    <t>2%</t>
  </si>
  <si>
    <t xml:space="preserve">Arturo Quesada/AQO </t>
  </si>
  <si>
    <t xml:space="preserve">MNK SEGUROS </t>
  </si>
  <si>
    <t>Seguros Generales</t>
  </si>
  <si>
    <t>Seguros Personales</t>
  </si>
  <si>
    <t>Comisión Corredor</t>
  </si>
  <si>
    <t>ACRE.COMIS.R.F.</t>
  </si>
  <si>
    <t>72.00</t>
  </si>
  <si>
    <t>LAFISE</t>
  </si>
  <si>
    <t>ABON</t>
  </si>
  <si>
    <t>Servicios profesionales</t>
  </si>
  <si>
    <t>Totala  rebajar</t>
  </si>
  <si>
    <t>50% salario Maria José actualizado</t>
  </si>
  <si>
    <t xml:space="preserve"> </t>
  </si>
  <si>
    <t>3-101-768792 SOCIEDAD ANONIMA</t>
  </si>
  <si>
    <t>47</t>
  </si>
  <si>
    <t>Arturo  Quesada/AQO2 Ovares</t>
  </si>
  <si>
    <t>01-12-AUT-0090551-04</t>
  </si>
  <si>
    <t>SAENZ RAMIREZ MARIO ANTONIO</t>
  </si>
  <si>
    <t>35.00</t>
  </si>
  <si>
    <t>COMPARTIDA</t>
  </si>
  <si>
    <t>01-12-AUT-0095733-03</t>
  </si>
  <si>
    <t>SIBAJA CAMPOS JOSE PABLO</t>
  </si>
  <si>
    <t>APTV-61466</t>
  </si>
  <si>
    <t>RUDDY CHAVES ARCE</t>
  </si>
  <si>
    <t>APTV-67422</t>
  </si>
  <si>
    <t>DANIEL ARMANDO MARTINEZ OBANDO</t>
  </si>
  <si>
    <t>APTV-64391</t>
  </si>
  <si>
    <t>ANGELIE SOFIA VARGAS ARTAVIA</t>
  </si>
  <si>
    <t>0160025820</t>
  </si>
  <si>
    <t>PEREZ BUESO CARLOS ENRIQUE</t>
  </si>
  <si>
    <t>0160026721</t>
  </si>
  <si>
    <t>VIQUEZ MATEI JESUS ALEXIS</t>
  </si>
  <si>
    <t>02B59515</t>
  </si>
  <si>
    <t>SABORIO POZUELO, FRANCISCO</t>
  </si>
  <si>
    <t>ASSA</t>
  </si>
  <si>
    <t>02B59302</t>
  </si>
  <si>
    <t>PALAMARU SA</t>
  </si>
  <si>
    <t>01-19-AUT-0146108-25</t>
  </si>
  <si>
    <t>SOLANO PORRAS JAIRO</t>
  </si>
  <si>
    <t>4012916</t>
  </si>
  <si>
    <t>TURTLE BEACH LO DGE SOCIEDAD A</t>
  </si>
  <si>
    <t>01-01-AUT-2184564-01</t>
  </si>
  <si>
    <t>TERRA HOUSE EXTERIORES SOCIEDA</t>
  </si>
  <si>
    <t>01-01-AUT-2187912-01</t>
  </si>
  <si>
    <t>AGUILAR SOTO ERICK FABRICIO</t>
  </si>
  <si>
    <t>01-01-AUT-2188722-01</t>
  </si>
  <si>
    <t>3-101-663348 SOCIEDAD ANONIMA</t>
  </si>
  <si>
    <t>9564810</t>
  </si>
  <si>
    <t>3-101-851969  S .A.</t>
  </si>
  <si>
    <t>9568425</t>
  </si>
  <si>
    <t>3-101-872539 SO CIEDAD ANONIMA</t>
  </si>
  <si>
    <t>01-01-AUT-2212339-00</t>
  </si>
  <si>
    <t>TRANSPORTES LA MARINA AVILA DO</t>
  </si>
  <si>
    <t>01-10-AUT-0067386-00</t>
  </si>
  <si>
    <t>01-10-AUT-0067390-00</t>
  </si>
  <si>
    <t>01-12-AUT-0057996-15</t>
  </si>
  <si>
    <t>ZAVALETA OCHOA EUGENIA MARIA A</t>
  </si>
  <si>
    <t>01-12-AUT-0061390-16</t>
  </si>
  <si>
    <t>QUESADA LOAIZA LUIS ARTURO</t>
  </si>
  <si>
    <t>01-12-AUT-0061669-14</t>
  </si>
  <si>
    <t>CANTILLO JIMENEZ JONHATAN JOSE</t>
  </si>
  <si>
    <t>01-12-AUT-0062666-14</t>
  </si>
  <si>
    <t>OVARES SABALLOS SONIA</t>
  </si>
  <si>
    <t>01-12-AUT-0062820-14</t>
  </si>
  <si>
    <t>MU?OZ ACOSTA SOLEIDA</t>
  </si>
  <si>
    <t>01-12-AUT-0062821-14</t>
  </si>
  <si>
    <t>MU?OZ ACOSTA JUAN ELMER</t>
  </si>
  <si>
    <t>01-12-AUT-0065731-13</t>
  </si>
  <si>
    <t>NIETO CHACON BEATRIZ</t>
  </si>
  <si>
    <t>01-12-AUT-0066029-13</t>
  </si>
  <si>
    <t>VARGAS SANCHEZ KATTIA MARIA</t>
  </si>
  <si>
    <t>01-12-AUT-0079422-09</t>
  </si>
  <si>
    <t>01-12-AUT-0083134-08</t>
  </si>
  <si>
    <t>LOAIZA MENDOZA CECILIA DEL CAR</t>
  </si>
  <si>
    <t>01-12-AUT-0083506-08</t>
  </si>
  <si>
    <t>01-12-AUT-0096111-03</t>
  </si>
  <si>
    <t>ULATE CAMPOS JORGE LUIS</t>
  </si>
  <si>
    <t>01-12-AUT-0097104-02</t>
  </si>
  <si>
    <t>GARRO HERRERA ALICIA MARIA</t>
  </si>
  <si>
    <t>01-12-AUT-0097105-02</t>
  </si>
  <si>
    <t>01-12-AUT-0097411-02</t>
  </si>
  <si>
    <t>ARAYA HERMOSIN CELIA</t>
  </si>
  <si>
    <t>01-12-AUT-0097473-02</t>
  </si>
  <si>
    <t>BRENES CALDERON SILVIA</t>
  </si>
  <si>
    <t>01-12-AUT-0097478-02</t>
  </si>
  <si>
    <t>ROJAS ZU?IGA GRACE</t>
  </si>
  <si>
    <t>01-12-AUT-0097718-02</t>
  </si>
  <si>
    <t>MARTINEZ MONGE NATALIA</t>
  </si>
  <si>
    <t>01-12-AUT-0097908-02</t>
  </si>
  <si>
    <t>MONGE CAMPOS MARJORIE ISABEL</t>
  </si>
  <si>
    <t>01-12-AUT-0099925-01</t>
  </si>
  <si>
    <t>MORA ALVARADO MARTIN RODOLFO</t>
  </si>
  <si>
    <t>01-12-AUT-0099997-01</t>
  </si>
  <si>
    <t>SOLANO AGUILAR OSCAR MARIO</t>
  </si>
  <si>
    <t>01-12-AUT-0100310-01</t>
  </si>
  <si>
    <t>MORA BENAVIDES SANDRA GABRIELA</t>
  </si>
  <si>
    <t>01-12-AUT-0101111-01</t>
  </si>
  <si>
    <t>HERRERA BARBOZA YOLANDA BEATRI</t>
  </si>
  <si>
    <t>01-12-AUT-0102166-01</t>
  </si>
  <si>
    <t>SANCHEZ BOSCHINI ALVARO ALAN</t>
  </si>
  <si>
    <t>01-12-AUT-0102230-01</t>
  </si>
  <si>
    <t>RODRIGUEZ VASQUEZ JOSE PABLO</t>
  </si>
  <si>
    <t>01-12-AUT-0102232-01</t>
  </si>
  <si>
    <t>RUMOROSO TORRES ANA MARIA</t>
  </si>
  <si>
    <t>01-12-AUT-0103411-01</t>
  </si>
  <si>
    <t>ARND HABILD</t>
  </si>
  <si>
    <t>01-12-AUT-0104037-01</t>
  </si>
  <si>
    <t>CASTRO CONTRERAS JULEEN</t>
  </si>
  <si>
    <t>01-12-AUT-0104234-01</t>
  </si>
  <si>
    <t>RO Y BE MULTINEGOCIOS Y PROYEC</t>
  </si>
  <si>
    <t>01-12-AUT-0104327-01</t>
  </si>
  <si>
    <t>BARRANTES RODAS VIVIANA</t>
  </si>
  <si>
    <t>01-12-AUT-0104884-01</t>
  </si>
  <si>
    <t>ARTAVIA ANDRADE JOSE ANTONIO</t>
  </si>
  <si>
    <t>01-12-AUT-0106125-00</t>
  </si>
  <si>
    <t>01-12-AUT-0110903-00</t>
  </si>
  <si>
    <t>CHACON OROZCO ANDRES</t>
  </si>
  <si>
    <t>01-12-CAM-0009710-00</t>
  </si>
  <si>
    <t>01-12-CAM-0009711-00</t>
  </si>
  <si>
    <t>01-12-IMR-0000860-03</t>
  </si>
  <si>
    <t>ULATE MORA GERARDO FREDDY</t>
  </si>
  <si>
    <t>01-12-IMR-0003555-00</t>
  </si>
  <si>
    <t>SEGURA BALMACEDA EVELYN ANDREA</t>
  </si>
  <si>
    <t>01-12-RCG-0002137-07</t>
  </si>
  <si>
    <t>CARDENAS SEQUEIRA JOSE RAMON</t>
  </si>
  <si>
    <t>01-25-ACC-0000323-00</t>
  </si>
  <si>
    <t>QUIROS ABARCA FELIPE</t>
  </si>
  <si>
    <t/>
  </si>
  <si>
    <t>01-25-ACC-0000324-00</t>
  </si>
  <si>
    <t>RIVERA WEISSBURG TIAGO LIAV</t>
  </si>
  <si>
    <t>01-25-ACC-0000325-00</t>
  </si>
  <si>
    <t>RIVERA WEISSBURG MATEO</t>
  </si>
  <si>
    <t>01-25-ACC-0130695-00</t>
  </si>
  <si>
    <t>CRUZ ZU?IGA ADRIANO</t>
  </si>
  <si>
    <t>01-25-ACC-0130696-00</t>
  </si>
  <si>
    <t>01-25-ACC-0130697-00</t>
  </si>
  <si>
    <t>CARDENAS BATISTA PAULA</t>
  </si>
  <si>
    <t>01-25-ACC-0130698-00</t>
  </si>
  <si>
    <t>CARDENAS BATISTA SEBASTIAN</t>
  </si>
  <si>
    <t>01-25-ACC-0130699-00</t>
  </si>
  <si>
    <t>MONGE FILLOY EMILIANO</t>
  </si>
  <si>
    <t>01-25-ACC-0130700-00</t>
  </si>
  <si>
    <t>QUIROS ABARCA SEBASTIAN</t>
  </si>
  <si>
    <t>01-25-ACC-0130701-00</t>
  </si>
  <si>
    <t>TIAGO LIAV RIVERA WEISSBURG</t>
  </si>
  <si>
    <t>01-25-ACC-0130702-00</t>
  </si>
  <si>
    <t>MATEO RIVERA WEISSBURG</t>
  </si>
  <si>
    <t>01-25-ACC-0130703-00</t>
  </si>
  <si>
    <t>ALFARO MERAYO FABIAN</t>
  </si>
  <si>
    <t>01-25-ACC-0130704-00</t>
  </si>
  <si>
    <t>GONZALEZ GONZALEZ VICENTE JOSE</t>
  </si>
  <si>
    <t>01-25-ACC-0130705-00</t>
  </si>
  <si>
    <t>GONZALEZ GONZALEZ RODRIGO ANTO</t>
  </si>
  <si>
    <t>01-25-ACC-0130706-00</t>
  </si>
  <si>
    <t>OROZCO FERNANDEZ LUCIANA</t>
  </si>
  <si>
    <t>01-25-ACC-0130707-00</t>
  </si>
  <si>
    <t>CRUZ ZU?IGA VICTORIA</t>
  </si>
  <si>
    <t>AUDC-1061</t>
  </si>
  <si>
    <t>WENDY FRANCINY CORDERO SOLANO</t>
  </si>
  <si>
    <t>INTERNACIONAL DE SEGUROS COSTA RICA</t>
  </si>
  <si>
    <t>AUDC-1086</t>
  </si>
  <si>
    <t>NANCY BLANCANEAUX MEDINA</t>
  </si>
  <si>
    <t>AUDC-1100</t>
  </si>
  <si>
    <t>JHAMNA LINDSAY MAGSIG CASTILLO</t>
  </si>
  <si>
    <t>AU-176743-31399-0</t>
  </si>
  <si>
    <t>GILFAN DISTRIBUIDORA S.A</t>
  </si>
  <si>
    <t>AU-221904-24684-0</t>
  </si>
  <si>
    <t>SHAMUMO ESPECIALIDAS PSICOLOGICAS SRL</t>
  </si>
  <si>
    <t>AU-211098-19200-0</t>
  </si>
  <si>
    <t>NURIA MARIA MORA MENDEZ</t>
  </si>
  <si>
    <t>AU-165704-4057-0</t>
  </si>
  <si>
    <t>3101663294 SOCIEDAD ANONIMA</t>
  </si>
  <si>
    <t>AU-265376-33850-0</t>
  </si>
  <si>
    <t>AU-279690-37845-0</t>
  </si>
  <si>
    <t>RAFAEL BARQUERO SANCHO</t>
  </si>
  <si>
    <t>3022410114166</t>
  </si>
  <si>
    <t>GAMBOA DOÑAS, ROY  ALONSO</t>
  </si>
  <si>
    <t>MAPFRE</t>
  </si>
  <si>
    <t>3022410114299</t>
  </si>
  <si>
    <t>ZARATE DIAZ, FERNANDO</t>
  </si>
  <si>
    <t>3022510115038</t>
  </si>
  <si>
    <t>TAYLOR ZUNIGA, DIONICIO</t>
  </si>
  <si>
    <t>SORT-1201</t>
  </si>
  <si>
    <t>3-102-958082 SOCIEDAD DE RESPONSABILIDAD LIMITADA</t>
  </si>
  <si>
    <t>APTV-62380</t>
  </si>
  <si>
    <t>ISAAC VLADIMIR MORA CRUZ</t>
  </si>
  <si>
    <t>APTV-66555</t>
  </si>
  <si>
    <t>FRANCISCO JOSE SALAZAR DELGADILLO</t>
  </si>
  <si>
    <t>APTV-63584</t>
  </si>
  <si>
    <t>APTV-47361</t>
  </si>
  <si>
    <t>SYLVIA ELENA CASTRO BLANCO</t>
  </si>
  <si>
    <t>0160030047</t>
  </si>
  <si>
    <t>J&amp;B POWER ENGINEERING SOCIEDAD AN</t>
  </si>
  <si>
    <t>0160027593</t>
  </si>
  <si>
    <t>JIMENEZ MIRANDA LUIS ANGEL</t>
  </si>
  <si>
    <t>0160023611</t>
  </si>
  <si>
    <t>ULLOA CHAVERRI ERICK ANTONIO</t>
  </si>
  <si>
    <t>0160028605</t>
  </si>
  <si>
    <t>VASQUEZ RIVERA CLAUDIO ALBERTO</t>
  </si>
  <si>
    <t>0160028583</t>
  </si>
  <si>
    <t>ARAYA FONSECA MILENY</t>
  </si>
  <si>
    <t>60B79</t>
  </si>
  <si>
    <t>CISNEROS VALLECILLOS, JOHNNY</t>
  </si>
  <si>
    <t>02-01-MED-0010238-12</t>
  </si>
  <si>
    <t>BOGANTES RODRIGUEZ LIGIA MARIA</t>
  </si>
  <si>
    <t>02-12-IMR-0001783-01</t>
  </si>
  <si>
    <t>INMOBILIARIA BONILLA JHS  SOCI</t>
  </si>
  <si>
    <t>02-12-RCG-0000090-07</t>
  </si>
  <si>
    <t>PREPARACIONES MAGISTRALES FARM</t>
  </si>
  <si>
    <t>02-12-RCG-0000391-01</t>
  </si>
  <si>
    <t>AKTIV SALUD DE CENTROAMERICA S</t>
  </si>
  <si>
    <t xml:space="preserve">RESUMEN DE PAGOS - IQ Julio </t>
  </si>
  <si>
    <t>Poliza julio-septiembre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</si>
</sst>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₡&quot;* #,##0.00_-;\-&quot;₡&quot;* #,##0.00_-;_-&quot;₡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&quot; &quot;* #,##0.00_);_(&quot; &quot;* \(#,##0.00\);_(&quot; &quot;* &quot;-&quot;??_);_(@_)"/>
    <numFmt numFmtId="167" formatCode="_-* #,##0.00\ _€_-;\-* #,##0.00\ _€_-;_-* &quot;-&quot;??\ _€_-;_-@_-"/>
    <numFmt numFmtId="168" formatCode="_(&quot;₡&quot;* #,##0.00_);_(&quot;₡&quot;* \(#,##0.00\);_(&quot;₡&quot;* &quot;-&quot;??_);_(@_)"/>
    <numFmt numFmtId="169" formatCode="_-[$₡-140A]* #,##0.00_-;\-[$₡-140A]* #,##0.00_-;_-[$₡-140A]* &quot;-&quot;??_-;_-@_-"/>
    <numFmt numFmtId="170" formatCode="_-&quot;$&quot;* #,##0.00_-;\-&quot;$&quot;* #,##0.00_-;_-&quot;$&quot;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Times New Roman"/>
      <family val="1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theme="0"/>
      <name val="Aptos Narrow"/>
      <family val="2"/>
    </font>
    <font>
      <b/>
      <sz val="11"/>
      <color rgb="FFFFC000"/>
      <name val="Aptos Narrow"/>
      <family val="2"/>
    </font>
    <font>
      <b/>
      <sz val="11"/>
      <color theme="0"/>
      <name val="Calibri"/>
      <family val="2"/>
      <scheme val="minor"/>
    </font>
    <font>
      <b/>
      <sz val="11"/>
      <color rgb="FFFFFFFF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92">
    <xf numFmtId="0" fontId="0" fillId="0" borderId="0"/>
    <xf numFmtId="165" fontId="1" fillId="0" borderId="0" applyFont="0" applyFill="0" applyBorder="0" applyAlignment="0" applyProtection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8" fillId="0" borderId="0">
      <alignment vertical="top"/>
    </xf>
    <xf numFmtId="9" fontId="8" fillId="0" borderId="0" applyFont="0" applyFill="0" applyBorder="0" applyAlignment="0" applyProtection="0">
      <alignment vertical="top"/>
    </xf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>
      <alignment vertical="top"/>
    </xf>
    <xf numFmtId="170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>
      <alignment vertical="top"/>
    </xf>
    <xf numFmtId="170" fontId="1" fillId="0" borderId="0" applyFont="0" applyFill="0" applyBorder="0" applyAlignment="0" applyProtection="0"/>
    <xf numFmtId="0" fontId="8" fillId="0" borderId="0">
      <alignment vertical="top"/>
    </xf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8" fillId="0" borderId="0" applyFont="0" applyFill="0" applyBorder="0" applyAlignment="0" applyProtection="0">
      <alignment vertical="top"/>
    </xf>
    <xf numFmtId="0" fontId="8" fillId="0" borderId="0">
      <alignment vertical="top"/>
    </xf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8" fillId="0" borderId="0">
      <alignment vertical="top"/>
    </xf>
    <xf numFmtId="0" fontId="5" fillId="0" borderId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5" fillId="0" borderId="0" applyFont="0" applyFill="0" applyBorder="0" applyAlignment="0" applyProtection="0">
      <alignment vertical="top"/>
    </xf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>
      <alignment vertical="top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>
      <alignment vertical="top"/>
    </xf>
    <xf numFmtId="0" fontId="5" fillId="0" borderId="0">
      <alignment vertical="top"/>
    </xf>
    <xf numFmtId="9" fontId="5" fillId="0" borderId="0" applyFont="0" applyFill="0" applyBorder="0" applyAlignment="0" applyProtection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16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>
      <alignment vertical="top"/>
    </xf>
    <xf numFmtId="0" fontId="5" fillId="0" borderId="0">
      <alignment vertical="top"/>
    </xf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>
      <alignment vertical="top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>
      <alignment vertical="top"/>
    </xf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0" fillId="0" borderId="1" xfId="0" applyBorder="1"/>
    <xf numFmtId="4" fontId="0" fillId="0" borderId="1" xfId="0" applyNumberFormat="1" applyBorder="1"/>
    <xf numFmtId="0" fontId="0" fillId="2" borderId="1" xfId="0" applyFill="1" applyBorder="1"/>
    <xf numFmtId="4" fontId="0" fillId="2" borderId="1" xfId="0" applyNumberFormat="1" applyFill="1" applyBorder="1"/>
    <xf numFmtId="0" fontId="6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2" borderId="0" xfId="0" applyFill="1"/>
    <xf numFmtId="4" fontId="0" fillId="0" borderId="0" xfId="0" applyNumberFormat="1"/>
    <xf numFmtId="169" fontId="0" fillId="0" borderId="0" xfId="0" applyNumberFormat="1"/>
    <xf numFmtId="0" fontId="0" fillId="4" borderId="0" xfId="0" applyFill="1"/>
    <xf numFmtId="169" fontId="0" fillId="4" borderId="0" xfId="0" applyNumberFormat="1" applyFill="1"/>
    <xf numFmtId="164" fontId="0" fillId="2" borderId="0" xfId="0" applyNumberFormat="1" applyFill="1"/>
    <xf numFmtId="164" fontId="0" fillId="4" borderId="0" xfId="34" applyFont="1" applyFill="1"/>
    <xf numFmtId="164" fontId="0" fillId="0" borderId="0" xfId="34" applyFont="1"/>
    <xf numFmtId="165" fontId="0" fillId="0" borderId="0" xfId="33" applyFont="1"/>
    <xf numFmtId="10" fontId="0" fillId="0" borderId="0" xfId="0" applyNumberFormat="1" applyAlignment="1">
      <alignment horizontal="center"/>
    </xf>
    <xf numFmtId="10" fontId="0" fillId="0" borderId="0" xfId="35" applyNumberFormat="1" applyFont="1" applyAlignment="1">
      <alignment horizontal="center"/>
    </xf>
    <xf numFmtId="43" fontId="0" fillId="0" borderId="0" xfId="0" applyNumberFormat="1"/>
    <xf numFmtId="167" fontId="0" fillId="0" borderId="0" xfId="0" applyNumberFormat="1"/>
    <xf numFmtId="0" fontId="7" fillId="0" borderId="0" xfId="0" applyFont="1" applyAlignment="1">
      <alignment horizontal="center"/>
    </xf>
    <xf numFmtId="10" fontId="0" fillId="0" borderId="0" xfId="35" applyNumberFormat="1" applyFont="1"/>
    <xf numFmtId="165" fontId="6" fillId="0" borderId="0" xfId="33" applyFont="1"/>
    <xf numFmtId="0" fontId="0" fillId="0" borderId="9" xfId="0" applyBorder="1"/>
    <xf numFmtId="165" fontId="0" fillId="0" borderId="0" xfId="0" applyNumberFormat="1"/>
    <xf numFmtId="165" fontId="6" fillId="0" borderId="0" xfId="0" applyNumberFormat="1" applyFont="1"/>
    <xf numFmtId="165" fontId="0" fillId="0" borderId="0" xfId="33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0" fillId="0" borderId="0" xfId="0" quotePrefix="1"/>
    <xf numFmtId="0" fontId="13" fillId="5" borderId="0" xfId="0" applyFont="1" applyFill="1" applyAlignment="1">
      <alignment vertical="center"/>
    </xf>
    <xf numFmtId="4" fontId="13" fillId="5" borderId="0" xfId="0" applyNumberFormat="1" applyFont="1" applyFill="1" applyAlignment="1">
      <alignment vertical="center"/>
    </xf>
    <xf numFmtId="4" fontId="12" fillId="6" borderId="0" xfId="0" applyNumberFormat="1" applyFont="1" applyFill="1"/>
    <xf numFmtId="43" fontId="0" fillId="0" borderId="1" xfId="0" applyNumberFormat="1" applyBorder="1" applyAlignment="1">
      <alignment horizontal="center"/>
    </xf>
    <xf numFmtId="165" fontId="0" fillId="0" borderId="1" xfId="33" applyFont="1" applyBorder="1" applyAlignment="1">
      <alignment horizontal="center"/>
    </xf>
    <xf numFmtId="43" fontId="0" fillId="0" borderId="1" xfId="0" applyNumberFormat="1" applyBorder="1"/>
    <xf numFmtId="43" fontId="0" fillId="0" borderId="0" xfId="162" applyFont="1" applyFill="1"/>
    <xf numFmtId="0" fontId="0" fillId="2" borderId="9" xfId="0" applyFill="1" applyBorder="1"/>
    <xf numFmtId="0" fontId="0" fillId="7" borderId="0" xfId="0" quotePrefix="1" applyFill="1"/>
    <xf numFmtId="43" fontId="0" fillId="7" borderId="0" xfId="162" applyFont="1" applyFill="1"/>
    <xf numFmtId="0" fontId="0" fillId="7" borderId="0" xfId="0" applyFill="1"/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4" fontId="10" fillId="6" borderId="0" xfId="0" applyNumberFormat="1" applyFont="1" applyFill="1" applyAlignment="1">
      <alignment horizontal="center"/>
    </xf>
    <xf numFmtId="4" fontId="11" fillId="6" borderId="0" xfId="0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92">
    <cellStyle name="Comma 2" xfId="17" xr:uid="{AEB08045-2907-4B54-B84F-E7B39DDD117B}"/>
    <cellStyle name="Comma 2 2" xfId="31" xr:uid="{CBE32086-F078-4CDB-9B9E-3CC3CC26A2E6}"/>
    <cellStyle name="Comma 2 2 2" xfId="66" xr:uid="{0C122365-F962-481B-A63B-B6E7F0D2EDDF}"/>
    <cellStyle name="Comma 2 2 2 2" xfId="129" xr:uid="{CBF0C2E3-4866-4817-8536-E2F693689E74}"/>
    <cellStyle name="Comma 2 2 3" xfId="84" xr:uid="{0CFF62B3-4F4D-47C6-A5AE-10C5FC0373AD}"/>
    <cellStyle name="Comma 2 2 3 2" xfId="146" xr:uid="{1356CB29-B962-4AD2-9164-891DDB0461FD}"/>
    <cellStyle name="Comma 2 2 4" xfId="89" xr:uid="{829D8886-FC05-4CBD-B285-6E3AD5DC9009}"/>
    <cellStyle name="Comma 2 3" xfId="56" xr:uid="{7DBBB528-53B7-4925-9687-DEE35CC30C86}"/>
    <cellStyle name="Comma 2 3 2" xfId="121" xr:uid="{E1CD6E9C-32A0-4F89-B5E8-D75C2498A584}"/>
    <cellStyle name="Comma 2 4" xfId="72" xr:uid="{642939DF-CBBA-45C6-858E-865EFC2BBB20}"/>
    <cellStyle name="Comma 2 4 2" xfId="137" xr:uid="{3601FFAB-144C-48C8-A06B-7DA8CDE3EC03}"/>
    <cellStyle name="Comma 2 5" xfId="88" xr:uid="{8D241B75-F572-4498-BC29-AED0CAC582C8}"/>
    <cellStyle name="Comma 3" xfId="18" xr:uid="{56D0F4F4-F05C-4B86-9D49-F29E8FB4C8E2}"/>
    <cellStyle name="Comma 3 2" xfId="30" xr:uid="{172895BC-0736-4CE5-94F7-5BF57B0BE1FB}"/>
    <cellStyle name="Comma 3 2 2" xfId="65" xr:uid="{52E3233F-C71F-498B-9414-96BF99AE2798}"/>
    <cellStyle name="Comma 3 2 2 2" xfId="128" xr:uid="{245CF767-4B1B-4235-A5F5-6E960A484DB3}"/>
    <cellStyle name="Comma 3 2 3" xfId="83" xr:uid="{5A037125-8FA3-45C4-B683-E9E436E25DC5}"/>
    <cellStyle name="Comma 3 2 3 2" xfId="145" xr:uid="{B5E30D13-F1FB-41D5-B3AA-DB22E8ADBCA7}"/>
    <cellStyle name="Comma 3 2 4" xfId="95" xr:uid="{F8D7105C-3218-4DD4-A3F1-2DFF7FC2E4C7}"/>
    <cellStyle name="Comma 3 3" xfId="60" xr:uid="{A42D498A-A217-456E-BC6F-593DE4DA3335}"/>
    <cellStyle name="Comma 3 3 2" xfId="122" xr:uid="{D56782DB-46E3-4211-BA46-9BA3F38A3BE2}"/>
    <cellStyle name="Comma 3 4" xfId="76" xr:uid="{1266B6C2-5496-4A15-9B86-BDE3A8B29C92}"/>
    <cellStyle name="Comma 3 4 2" xfId="141" xr:uid="{65CC6BF2-31C4-4441-A500-FB85BB09B0BB}"/>
    <cellStyle name="Comma 3 5" xfId="92" xr:uid="{CA2DE21F-B105-4B11-A2A8-7D8218F010AD}"/>
    <cellStyle name="Currency 2" xfId="40" xr:uid="{982F491D-C48E-4E10-9848-C67EF27C1D90}"/>
    <cellStyle name="Currency 3" xfId="90" xr:uid="{C31004E0-B4E8-405F-BE3F-B8D8F5C1E87C}"/>
    <cellStyle name="Millares" xfId="33" builtinId="3"/>
    <cellStyle name="Millares 2" xfId="1" xr:uid="{00000000-0005-0000-0000-000000000000}"/>
    <cellStyle name="Millares 2 10" xfId="162" xr:uid="{CB2E7D47-9872-43EA-A476-0808D217CD47}"/>
    <cellStyle name="Millares 2 2" xfId="5" xr:uid="{00000000-0005-0000-0000-000001000000}"/>
    <cellStyle name="Millares 2 2 2" xfId="23" xr:uid="{63210C26-A9D2-4F96-B829-698749C2F5C9}"/>
    <cellStyle name="Millares 2 2 2 2" xfId="51" xr:uid="{647E5D0B-C9A3-4B07-8255-E10580386B2F}"/>
    <cellStyle name="Millares 2 2 2 2 2" xfId="68" xr:uid="{B0781A01-76AA-4C3E-87CC-1BA9EC7C29ED}"/>
    <cellStyle name="Millares 2 2 2 2 2 2" xfId="133" xr:uid="{CD5A7D96-EE62-42D5-8E10-257F8BD7E30C}"/>
    <cellStyle name="Millares 2 2 2 2 3" xfId="86" xr:uid="{F75E2A02-84EB-45E4-9CB9-4A779C6D0F78}"/>
    <cellStyle name="Millares 2 2 2 2 3 2" xfId="148" xr:uid="{28DFBECF-9CD4-4E7A-AE6B-AC54E3640CA3}"/>
    <cellStyle name="Millares 2 2 2 2 4" xfId="106" xr:uid="{85E09164-B2CC-46EA-9976-0EDA211C3844}"/>
    <cellStyle name="Millares 2 2 2 3" xfId="61" xr:uid="{F7ADB7AE-34BC-4B4F-9D8E-B3ED47FCF1CB}"/>
    <cellStyle name="Millares 2 2 2 3 2" xfId="112" xr:uid="{3EB6E04A-9087-4A6F-B3DB-81ED036D7AF0}"/>
    <cellStyle name="Millares 2 2 2 4" xfId="77" xr:uid="{66B9647A-8534-4252-A443-7A1BA1371F0C}"/>
    <cellStyle name="Millares 2 2 2 4 2" xfId="142" xr:uid="{563B5634-5EFA-4775-B68D-D99C5386E912}"/>
    <cellStyle name="Millares 2 2 2 5" xfId="96" xr:uid="{C78418DD-202C-40E5-B74F-2A5C4298B387}"/>
    <cellStyle name="Millares 2 2 3" xfId="25" xr:uid="{A9AA2A28-8A7E-4FCF-8A75-2114C95914A6}"/>
    <cellStyle name="Millares 2 2 4" xfId="49" xr:uid="{D2ADDEBD-C5C6-48C6-85BF-28C31649FEA7}"/>
    <cellStyle name="Millares 2 2 5" xfId="109" xr:uid="{86976190-7F1B-4432-AB50-90ED86905D1F}"/>
    <cellStyle name="Millares 2 2 6" xfId="165" xr:uid="{789BCB14-883A-4300-BB5C-B19495688886}"/>
    <cellStyle name="Millares 2 2 7" xfId="161" xr:uid="{B6775387-9DF7-4A20-A71E-8D09BFCA7B1D}"/>
    <cellStyle name="Millares 2 3" xfId="14" xr:uid="{00000000-0005-0000-0000-000002000000}"/>
    <cellStyle name="Millares 2 3 2" xfId="29" xr:uid="{79CFFFCE-93BF-46F6-B113-BD250C09C6BF}"/>
    <cellStyle name="Millares 2 3 2 2" xfId="46" xr:uid="{F2EA4144-D2D6-4C24-B519-BC5697094E15}"/>
    <cellStyle name="Millares 2 3 2 2 2" xfId="101" xr:uid="{87DBD439-AB13-495C-B1B6-7367FF4C32DC}"/>
    <cellStyle name="Millares 2 3 2 3" xfId="82" xr:uid="{38F8E86B-A29F-4CC8-8C67-67FF86FDA8DD}"/>
    <cellStyle name="Millares 2 3 2 3 2" xfId="127" xr:uid="{E531C043-1872-4968-A7F2-3D406EEF4E73}"/>
    <cellStyle name="Millares 2 3 3" xfId="27" xr:uid="{C8FF09B6-E80F-4059-A0C7-F9064540974F}"/>
    <cellStyle name="Millares 2 3 3 2" xfId="64" xr:uid="{F84917D8-498C-4B28-BEF8-562878B637D7}"/>
    <cellStyle name="Millares 2 3 3 2 2" xfId="126" xr:uid="{1A1B6980-F326-4DE3-A434-61369A0185AF}"/>
    <cellStyle name="Millares 2 3 3 3" xfId="80" xr:uid="{A1C64E7D-F95A-4028-9470-7CF08FCB85F1}"/>
    <cellStyle name="Millares 2 3 3 3 2" xfId="144" xr:uid="{3D7D5F7D-2BF6-41F4-A537-BABFB4ED4447}"/>
    <cellStyle name="Millares 2 3 3 4" xfId="102" xr:uid="{02CFED8B-0745-4D46-8CD0-5EC997D80C7D}"/>
    <cellStyle name="Millares 2 3 4" xfId="55" xr:uid="{359979C5-3080-4845-BD90-6FD9F0A9FEA8}"/>
    <cellStyle name="Millares 2 3 4 2" xfId="111" xr:uid="{4E7C8D89-E335-4404-AAF4-176A4ECB01D4}"/>
    <cellStyle name="Millares 2 3 5" xfId="71" xr:uid="{26FEF7BC-6081-4AC7-AD2A-8215B8847F34}"/>
    <cellStyle name="Millares 2 3 5 2" xfId="136" xr:uid="{93C2A99C-E9F9-41B2-B908-95121CFCBC5E}"/>
    <cellStyle name="Millares 2 3 6" xfId="91" xr:uid="{0C4B35FD-6200-44B0-BB6B-A07350786BA1}"/>
    <cellStyle name="Millares 2 3 7" xfId="167" xr:uid="{A9ED8C74-A7D5-4B3B-9DD1-45D16C802446}"/>
    <cellStyle name="Millares 2 4" xfId="4" xr:uid="{00000000-0005-0000-0000-000003000000}"/>
    <cellStyle name="Millares 2 5" xfId="19" xr:uid="{0A148399-D1EA-4AB6-8DE2-275932BA8DCD}"/>
    <cellStyle name="Millares 2 5 2" xfId="59" xr:uid="{9A5BAD06-30CC-490E-866C-377C3241F6A2}"/>
    <cellStyle name="Millares 2 5 2 2" xfId="123" xr:uid="{0F2D2AD2-E78F-4399-B23A-4986E32699D9}"/>
    <cellStyle name="Millares 2 5 3" xfId="75" xr:uid="{D058DBB1-C13D-4B17-B617-6BF1BC313CAC}"/>
    <cellStyle name="Millares 2 5 3 2" xfId="140" xr:uid="{EB4D32A6-E590-416E-8B05-72F38AC2A915}"/>
    <cellStyle name="Millares 2 5 4" xfId="99" xr:uid="{B99D8AF5-B750-4026-A7BB-C53698898374}"/>
    <cellStyle name="Millares 2 6" xfId="24" xr:uid="{08EC0EAE-4A01-4F40-ABA7-971FFA895606}"/>
    <cellStyle name="Millares 2 6 2" xfId="62" xr:uid="{B9B43100-EC37-4B3F-866C-E1D8101AE2EC}"/>
    <cellStyle name="Millares 2 6 2 2" xfId="117" xr:uid="{9C831E2F-4F40-4FEC-8022-D5E759BCE861}"/>
    <cellStyle name="Millares 2 6 3" xfId="78" xr:uid="{5C5A994E-A98A-428E-A27E-EB0B2670807B}"/>
    <cellStyle name="Millares 2 6 3 2" xfId="143" xr:uid="{CD1745CE-95FD-4372-A76C-CAA7B654E457}"/>
    <cellStyle name="Millares 2 6 4" xfId="104" xr:uid="{8A3D50D7-6868-49F8-A25C-253CE2D57289}"/>
    <cellStyle name="Millares 2 7" xfId="53" xr:uid="{A3D2BC03-B7EC-47F3-924C-7D26B23C6E03}"/>
    <cellStyle name="Millares 2 7 2" xfId="108" xr:uid="{A9C4C0DC-2AF6-4E65-99A1-86FB645D69A2}"/>
    <cellStyle name="Millares 2 8" xfId="69" xr:uid="{623F29AA-A928-4D8D-BEF5-CE83AE28B45C}"/>
    <cellStyle name="Millares 2 8 2" xfId="135" xr:uid="{5EB2BC21-3FD6-461C-AFCC-63F6171B7F63}"/>
    <cellStyle name="Millares 2 9" xfId="87" xr:uid="{1EA0FD55-8BBE-49AF-8C7B-D0D6A1A775A0}"/>
    <cellStyle name="Millares 3" xfId="6" xr:uid="{00000000-0005-0000-0000-000004000000}"/>
    <cellStyle name="Millares 3 2" xfId="20" xr:uid="{82520658-FC29-4966-B8B6-0AA8A5B9ABDD}"/>
    <cellStyle name="Millares 3 2 2" xfId="50" xr:uid="{B3A96F59-43F7-413D-A29C-B1F7CF288D03}"/>
    <cellStyle name="Millares 3 2 2 2" xfId="67" xr:uid="{E9C3EEDF-D3C3-4226-AA55-244D6117DD4E}"/>
    <cellStyle name="Millares 3 2 2 2 2" xfId="132" xr:uid="{A1B6474C-A404-46DE-8A94-2D568600E74D}"/>
    <cellStyle name="Millares 3 2 2 3" xfId="85" xr:uid="{42FBC302-A500-4255-9C00-15D85E5017F1}"/>
    <cellStyle name="Millares 3 2 2 3 2" xfId="147" xr:uid="{18E50A51-B748-4174-AD6D-698A278F8671}"/>
    <cellStyle name="Millares 3 2 2 4" xfId="105" xr:uid="{5CEBB648-B330-4485-B531-C72A868102E0}"/>
    <cellStyle name="Millares 3 2 3" xfId="58" xr:uid="{5767C8EB-2EB4-4779-8072-77FDF8393F5D}"/>
    <cellStyle name="Millares 3 2 3 2" xfId="110" xr:uid="{AA9FE02B-866D-4DD9-8916-2E1EB2DE4D1D}"/>
    <cellStyle name="Millares 3 2 4" xfId="74" xr:uid="{FA43B494-A5C0-4719-8CDE-B4F862CA8E11}"/>
    <cellStyle name="Millares 3 2 4 2" xfId="139" xr:uid="{392DC5D8-47D4-4EB4-BC07-B1BD79892BD9}"/>
    <cellStyle name="Millares 3 2 5" xfId="97" xr:uid="{E61D498E-39A2-4F5B-A809-5CEA8D10638F}"/>
    <cellStyle name="Millares 3 3" xfId="41" xr:uid="{2A5533E8-75BF-49D2-8EFD-45E6BB54A2A7}"/>
    <cellStyle name="Millares 3 3 2" xfId="44" xr:uid="{B5F21D10-DC3C-41F7-AB29-4B7BC4753B17}"/>
    <cellStyle name="Millares 3 3 3" xfId="94" xr:uid="{3FAA5A3C-0367-418A-AB63-406A4F7525A2}"/>
    <cellStyle name="Millares 3 4" xfId="107" xr:uid="{7377DF37-AA9E-476C-A0FC-ECD1D3BD2AC3}"/>
    <cellStyle name="Millares 3 5" xfId="170" xr:uid="{5CC7105D-D1BA-494F-B9D6-F6355E5FBE3F}"/>
    <cellStyle name="Millares 3 6" xfId="171" xr:uid="{501EA16B-84D6-488E-8409-C9F376014445}"/>
    <cellStyle name="Millares 4" xfId="3" xr:uid="{00000000-0005-0000-0000-000005000000}"/>
    <cellStyle name="Millares 4 2" xfId="21" xr:uid="{BACE2B16-BDAF-4F91-8C92-BC219333FF31}"/>
    <cellStyle name="Millares 4 2 2" xfId="57" xr:uid="{8FA0D72D-A206-4661-8EEE-57A6135BB29A}"/>
    <cellStyle name="Millares 4 2 2 2" xfId="124" xr:uid="{CF3D69FA-2957-4FDF-8ECF-FF096A8FCE6E}"/>
    <cellStyle name="Millares 4 2 3" xfId="73" xr:uid="{0FF0EA6D-E392-4D0C-84F1-EC1301A94541}"/>
    <cellStyle name="Millares 4 2 3 2" xfId="138" xr:uid="{198672AC-45E2-45DF-9CA0-2336EA2A763E}"/>
    <cellStyle name="Millares 4 2 4" xfId="93" xr:uid="{FF7C7BF0-614A-4AC3-95BD-3CA9B30A9D28}"/>
    <cellStyle name="Millares 4 3" xfId="43" xr:uid="{AB34BB4D-EA0C-4508-8BAB-7CC7A6407DB9}"/>
    <cellStyle name="Millares 5" xfId="151" xr:uid="{0699D798-D00C-4D3A-88CA-D9804A913DF4}"/>
    <cellStyle name="Millares 5 2" xfId="157" xr:uid="{E068D425-88FA-4B94-9736-0B0D839B3111}"/>
    <cellStyle name="Millares 6" xfId="158" xr:uid="{A2199C0F-878F-4C63-856B-3E2F773710C2}"/>
    <cellStyle name="Millares 6 2" xfId="191" xr:uid="{95D7EE82-F15A-4E24-9EFA-4B70C22DA6BF}"/>
    <cellStyle name="Moneda" xfId="34" builtinId="4"/>
    <cellStyle name="Moneda 2" xfId="13" xr:uid="{00000000-0005-0000-0000-000006000000}"/>
    <cellStyle name="Moneda 2 2" xfId="16" xr:uid="{00000000-0005-0000-0000-000007000000}"/>
    <cellStyle name="Moneda 2 3" xfId="28" xr:uid="{4A16DB30-19BB-4297-A45B-93C2DA8F9651}"/>
    <cellStyle name="Moneda 2 3 2" xfId="45" xr:uid="{3EEF5E4E-1A28-4F48-B88B-48E184892185}"/>
    <cellStyle name="Moneda 2 3 3" xfId="42" xr:uid="{3ED702C1-344C-4158-BAB0-48D70B2AECB2}"/>
    <cellStyle name="Moneda 2 3 3 2" xfId="81" xr:uid="{5E7D9B68-E674-4858-B634-1CC067994A16}"/>
    <cellStyle name="Moneda 2 3 3 3" xfId="119" xr:uid="{72137A73-3DBE-45DB-94D3-C3DCAE0B015B}"/>
    <cellStyle name="Moneda 2 3 3 3 2" xfId="187" xr:uid="{E397447E-58F9-4CD2-8E20-1FC5CAAE8508}"/>
    <cellStyle name="Moneda 2 3 3 3 3" xfId="180" xr:uid="{EF7CF70B-1645-4358-8419-859F629614B1}"/>
    <cellStyle name="Moneda 2 3 3 4" xfId="164" xr:uid="{10A65588-0C08-41FA-A85C-1D03C1301120}"/>
    <cellStyle name="Moneda 2 3 4" xfId="98" xr:uid="{9A322CAC-0C4B-42B9-8B5E-519A4EA8C855}"/>
    <cellStyle name="Moneda 2 3 4 2" xfId="160" xr:uid="{44044B8E-7ACB-4CB5-B61C-3B052D3D3F72}"/>
    <cellStyle name="Moneda 2 3 4 3" xfId="185" xr:uid="{3B0A6D1B-034F-409A-AF79-DFE519814C8E}"/>
    <cellStyle name="Moneda 2 4" xfId="26" xr:uid="{0D3C3ECE-3567-4746-A49D-082E9F2B9296}"/>
    <cellStyle name="Moneda 2 4 2" xfId="63" xr:uid="{665C3E6B-8D2B-4C79-9F8F-54C940AB1921}"/>
    <cellStyle name="Moneda 2 4 3" xfId="79" xr:uid="{42A53B63-0A8F-48C6-929D-66103D337D47}"/>
    <cellStyle name="Moneda 2 5" xfId="54" xr:uid="{5AB9E996-36F9-41BE-9471-D1755C143E40}"/>
    <cellStyle name="Moneda 2 5 2" xfId="134" xr:uid="{F00AFA31-20E5-47B6-9940-5112BD32DD8A}"/>
    <cellStyle name="Moneda 2 5 3" xfId="120" xr:uid="{1181B4DD-8E9C-4D71-99DB-5D3E84F962F8}"/>
    <cellStyle name="Moneda 2 5 3 2" xfId="188" xr:uid="{9D6FD499-5D90-4C11-A7A6-5793AD0A67AF}"/>
    <cellStyle name="Moneda 2 5 3 3" xfId="181" xr:uid="{011D8F80-85B1-403C-AEA9-D797031CD17A}"/>
    <cellStyle name="Moneda 2 5 4" xfId="172" xr:uid="{5DF5FA9F-5A41-4C41-BE11-B44A89864D54}"/>
    <cellStyle name="Moneda 2 6" xfId="70" xr:uid="{77F54735-967F-4043-AE93-AD51043079BD}"/>
    <cellStyle name="Moneda 2 7" xfId="168" xr:uid="{31C098E1-E249-438B-9DA3-A39616DCC639}"/>
    <cellStyle name="Moneda 3" xfId="32" xr:uid="{77019211-13F7-4731-8D73-5B68B4B10C2F}"/>
    <cellStyle name="Moneda 3 2" xfId="36" xr:uid="{2735D3DC-7700-4B69-AEAF-90B85BF8D101}"/>
    <cellStyle name="Moneda 3 2 2" xfId="48" xr:uid="{C5817DE0-BDE2-4938-9A76-AAA967B1DA59}"/>
    <cellStyle name="Moneda 3 2 2 2" xfId="131" xr:uid="{AB90F184-2B3F-45B2-8137-A2B055984088}"/>
    <cellStyle name="Moneda 3 2 2 3" xfId="118" xr:uid="{7B91785E-64EA-481D-8B88-561B23B68677}"/>
    <cellStyle name="Moneda 3 2 2 4" xfId="179" xr:uid="{225978E0-F116-44B6-9994-CE424BF24C36}"/>
    <cellStyle name="Moneda 3 2 3" xfId="130" xr:uid="{BCA94C80-CE61-42E3-8DCD-C7DA3D4BFF00}"/>
    <cellStyle name="Moneda 3 2 4" xfId="103" xr:uid="{D3DC05B8-F3AB-4A59-8433-AE26DF1F76EF}"/>
    <cellStyle name="Moneda 3 3" xfId="115" xr:uid="{75EBA53D-EC09-4FBA-8A67-3FA46B2C54EC}"/>
    <cellStyle name="Moneda 3 4" xfId="113" xr:uid="{EEB03482-60D1-4050-AD89-AC3E6422D728}"/>
    <cellStyle name="Moneda 3 5" xfId="154" xr:uid="{69A9A4E2-C123-4311-800F-9DC37ED2ABCA}"/>
    <cellStyle name="Moneda 4" xfId="153" xr:uid="{9EB15BE8-E4BA-4F22-BA2A-1590234C246B}"/>
    <cellStyle name="Moneda 4 2" xfId="159" xr:uid="{D8AA4C5F-998D-4C73-97FB-C3271240E18F}"/>
    <cellStyle name="Moneda 4 3" xfId="190" xr:uid="{86440A7A-FD9E-4311-895A-9D3033FB88CF}"/>
    <cellStyle name="Moneda 4 4" xfId="184" xr:uid="{D91D6EF9-FD64-4CA3-B27E-80156A3F08E4}"/>
    <cellStyle name="Normal" xfId="0" builtinId="0"/>
    <cellStyle name="Normal 15" xfId="37" xr:uid="{F9D5B260-30D0-4D26-9C05-90A67FA6FF9C}"/>
    <cellStyle name="Normal 2" xfId="7" xr:uid="{00000000-0005-0000-0000-000009000000}"/>
    <cellStyle name="Normal 2 2" xfId="8" xr:uid="{00000000-0005-0000-0000-00000A000000}"/>
    <cellStyle name="Normal 2 3" xfId="15" xr:uid="{00000000-0005-0000-0000-00000B000000}"/>
    <cellStyle name="Normal 2 4" xfId="22" xr:uid="{E61CD322-3C8F-4311-96A1-767B3B3F28E1}"/>
    <cellStyle name="Normal 2 4 2" xfId="47" xr:uid="{1FBCC120-DCD6-4F00-9B58-6788DEE79405}"/>
    <cellStyle name="Normal 2 4 2 2" xfId="150" xr:uid="{19F4DD0C-A242-4AA5-B309-0D4DE5FB6C35}"/>
    <cellStyle name="Normal 2 4 2 2 2" xfId="156" xr:uid="{7BDF7B52-6092-4376-9A56-9B86CC5D6D31}"/>
    <cellStyle name="Normal 2 4 2 2 3" xfId="189" xr:uid="{F97587B9-BD19-442F-B6B3-9E950AC00689}"/>
    <cellStyle name="Normal 2 4 2 3" xfId="116" xr:uid="{579289EA-4696-48E1-B315-CFF3D6535805}"/>
    <cellStyle name="Normal 2 4 2 3 2" xfId="178" xr:uid="{46B1A3DF-7409-4B19-9B59-4FA4C3C3DDCC}"/>
    <cellStyle name="Normal 2 4 2 4" xfId="100" xr:uid="{4314C009-9E18-4C76-AFA0-1433492C6FB0}"/>
    <cellStyle name="Normal 2 4 2 4 2" xfId="186" xr:uid="{1928C3F2-9FD2-4EA0-A134-932E13111121}"/>
    <cellStyle name="Normal 2 4 2 5" xfId="176" xr:uid="{F8D69E7E-7046-430C-B70C-A747106CF3D2}"/>
    <cellStyle name="Normal 2 4 3" xfId="125" xr:uid="{EC638E1B-F8DA-41FD-B33A-3D4CFE7F9187}"/>
    <cellStyle name="Normal 2 4 3 2" xfId="182" xr:uid="{AEA27F94-9792-45B9-9430-8B3957766D09}"/>
    <cellStyle name="Normal 2 4 3 3" xfId="173" xr:uid="{4DD4BA7E-E12F-4A38-B9D7-53272D564802}"/>
    <cellStyle name="Normal 2 4 4" xfId="155" xr:uid="{F27FF7B4-E640-4AC8-98D1-99934A119A22}"/>
    <cellStyle name="Normal 2 4 4 2" xfId="183" xr:uid="{AC5D2D8F-26D0-415A-807F-93760C70C6BE}"/>
    <cellStyle name="Normal 2 5" xfId="38" xr:uid="{1C167D87-5DA2-45AC-A0AA-8D98C3CE4B87}"/>
    <cellStyle name="Normal 2 5 2" xfId="174" xr:uid="{8A3C53F5-06E3-44F8-ADF3-FBB91F2C9DCD}"/>
    <cellStyle name="Normal 2 5 3" xfId="166" xr:uid="{49FD3D09-E6EC-4F0A-B5B4-E9EBAB719EA7}"/>
    <cellStyle name="Normal 2 6" xfId="114" xr:uid="{CCEA87EE-B64A-4FC6-9C12-E5675F5787E6}"/>
    <cellStyle name="Normal 2 6 2" xfId="177" xr:uid="{6874C711-79E3-4276-B526-D855DEC6D458}"/>
    <cellStyle name="Normal 2 6 3" xfId="169" xr:uid="{E4E12909-2998-47A2-B669-3FA936371E0A}"/>
    <cellStyle name="Normal 3" xfId="9" xr:uid="{00000000-0005-0000-0000-00000C000000}"/>
    <cellStyle name="Normal 4" xfId="10" xr:uid="{00000000-0005-0000-0000-00000D000000}"/>
    <cellStyle name="Normal 4 2" xfId="11" xr:uid="{00000000-0005-0000-0000-00000E000000}"/>
    <cellStyle name="Normal 5" xfId="12" xr:uid="{00000000-0005-0000-0000-00000F000000}"/>
    <cellStyle name="Normal 6" xfId="2" xr:uid="{00000000-0005-0000-0000-000010000000}"/>
    <cellStyle name="Normal 7" xfId="52" xr:uid="{CD087652-764C-4812-866C-480095DAFB7B}"/>
    <cellStyle name="Porcentaje" xfId="35" builtinId="5"/>
    <cellStyle name="Porcentaje 2" xfId="39" xr:uid="{A4EC01C4-93C4-4DA1-AB37-ACDFC7228F3D}"/>
    <cellStyle name="Porcentaje 2 2" xfId="149" xr:uid="{11F574F3-2E8A-4A69-A814-4347827D8193}"/>
    <cellStyle name="Porcentaje 2 2 2" xfId="175" xr:uid="{77011D79-A4B6-4FC7-A0A4-7E9E5AC027D7}"/>
    <cellStyle name="Porcentaje 2 3" xfId="163" xr:uid="{AE8B3453-EE9C-4020-8BC5-728195844CAE}"/>
    <cellStyle name="Porcentaje 3" xfId="152" xr:uid="{DDDAC62C-E519-4FD4-9800-D49CF882E5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3"/>
  <sheetViews>
    <sheetView topLeftCell="A120" workbookViewId="0">
      <selection sqref="A1:XFD1048576"/>
    </sheetView>
  </sheetViews>
  <sheetFormatPr baseColWidth="10" defaultRowHeight="15" x14ac:dyDescent="0.25"/>
  <cols>
    <col min="2" max="2" width="21.7109375" bestFit="1" customWidth="1"/>
    <col min="4" max="4" width="40" bestFit="1" customWidth="1"/>
    <col min="9" max="9" width="13.7109375" bestFit="1" customWidth="1"/>
    <col min="10" max="10" width="20" bestFit="1" customWidth="1"/>
    <col min="12" max="12" width="18.42578125" bestFit="1" customWidth="1"/>
    <col min="13" max="13" width="11.5703125" customWidth="1"/>
    <col min="14" max="14" width="13.140625" bestFit="1" customWidth="1"/>
  </cols>
  <sheetData>
    <row r="1" spans="1:15" ht="16.5" customHeight="1" x14ac:dyDescent="0.25">
      <c r="A1" s="30" t="s">
        <v>17</v>
      </c>
      <c r="B1" s="30" t="s">
        <v>51</v>
      </c>
      <c r="C1" s="30" t="s">
        <v>52</v>
      </c>
      <c r="D1" s="30" t="s">
        <v>53</v>
      </c>
      <c r="E1" s="30" t="s">
        <v>7</v>
      </c>
      <c r="F1" s="30" t="s">
        <v>43</v>
      </c>
      <c r="G1" s="30" t="s">
        <v>44</v>
      </c>
      <c r="H1" s="30" t="s">
        <v>8</v>
      </c>
      <c r="I1" s="31" t="s">
        <v>9</v>
      </c>
      <c r="J1" s="32" t="s">
        <v>54</v>
      </c>
      <c r="K1" s="31" t="s">
        <v>10</v>
      </c>
      <c r="L1" s="31" t="s">
        <v>60</v>
      </c>
      <c r="M1" s="31" t="s">
        <v>55</v>
      </c>
      <c r="N1" s="31" t="s">
        <v>11</v>
      </c>
      <c r="O1" s="30" t="s">
        <v>16</v>
      </c>
    </row>
    <row r="2" spans="1:15" s="40" customFormat="1" x14ac:dyDescent="0.25">
      <c r="A2" s="29" t="s">
        <v>18</v>
      </c>
      <c r="B2" s="29" t="s">
        <v>56</v>
      </c>
      <c r="C2" s="29" t="s">
        <v>88</v>
      </c>
      <c r="D2" s="29" t="s">
        <v>89</v>
      </c>
      <c r="E2" s="29" t="s">
        <v>90</v>
      </c>
      <c r="F2" s="29" t="s">
        <v>12</v>
      </c>
      <c r="G2" s="29" t="s">
        <v>58</v>
      </c>
      <c r="H2" s="29" t="s">
        <v>48</v>
      </c>
      <c r="I2" s="36">
        <v>32968.22</v>
      </c>
      <c r="J2" s="36">
        <v>4945.2299999999996</v>
      </c>
      <c r="K2" s="29" t="s">
        <v>62</v>
      </c>
      <c r="L2" s="36">
        <v>3560.5655999999994</v>
      </c>
      <c r="M2" s="36">
        <v>71.211311999999992</v>
      </c>
      <c r="N2" s="36">
        <v>3489.3542879999995</v>
      </c>
      <c r="O2"/>
    </row>
    <row r="3" spans="1:15" x14ac:dyDescent="0.25">
      <c r="A3" s="29" t="s">
        <v>18</v>
      </c>
      <c r="B3" s="29" t="s">
        <v>56</v>
      </c>
      <c r="C3" s="29" t="s">
        <v>91</v>
      </c>
      <c r="D3" s="29" t="s">
        <v>92</v>
      </c>
      <c r="E3" s="29" t="s">
        <v>90</v>
      </c>
      <c r="F3" s="29" t="s">
        <v>12</v>
      </c>
      <c r="G3" s="29" t="s">
        <v>58</v>
      </c>
      <c r="H3" s="29" t="s">
        <v>48</v>
      </c>
      <c r="I3" s="36">
        <v>37668.17</v>
      </c>
      <c r="J3" s="36">
        <v>5650.23</v>
      </c>
      <c r="K3" s="29" t="s">
        <v>62</v>
      </c>
      <c r="L3" s="36">
        <v>4068.1655999999994</v>
      </c>
      <c r="M3" s="36">
        <v>81.363311999999993</v>
      </c>
      <c r="N3" s="36">
        <v>3986.8022879999994</v>
      </c>
    </row>
    <row r="4" spans="1:15" x14ac:dyDescent="0.25">
      <c r="A4" s="38" t="s">
        <v>70</v>
      </c>
      <c r="B4" s="38" t="s">
        <v>71</v>
      </c>
      <c r="C4" s="38" t="s">
        <v>72</v>
      </c>
      <c r="D4" s="38" t="s">
        <v>73</v>
      </c>
      <c r="E4" s="38" t="s">
        <v>15</v>
      </c>
      <c r="F4" s="38" t="s">
        <v>13</v>
      </c>
      <c r="G4" s="38" t="s">
        <v>58</v>
      </c>
      <c r="H4" s="38" t="s">
        <v>48</v>
      </c>
      <c r="I4" s="39">
        <v>107246</v>
      </c>
      <c r="J4" s="39">
        <v>16087</v>
      </c>
      <c r="K4" s="38" t="s">
        <v>74</v>
      </c>
      <c r="L4" s="39">
        <v>5630.45</v>
      </c>
      <c r="M4" s="39">
        <v>112.60899999999999</v>
      </c>
      <c r="N4" s="39">
        <v>5517.8409999999994</v>
      </c>
      <c r="O4" s="40" t="s">
        <v>75</v>
      </c>
    </row>
    <row r="5" spans="1:15" x14ac:dyDescent="0.25">
      <c r="A5" s="29" t="s">
        <v>18</v>
      </c>
      <c r="B5" s="29" t="s">
        <v>56</v>
      </c>
      <c r="C5" s="29" t="s">
        <v>93</v>
      </c>
      <c r="D5" s="29" t="s">
        <v>94</v>
      </c>
      <c r="E5" s="29" t="s">
        <v>15</v>
      </c>
      <c r="F5" s="29" t="s">
        <v>47</v>
      </c>
      <c r="G5" s="29" t="s">
        <v>58</v>
      </c>
      <c r="H5" s="29" t="s">
        <v>48</v>
      </c>
      <c r="I5" s="36">
        <v>58271</v>
      </c>
      <c r="J5" s="36">
        <v>8741</v>
      </c>
      <c r="K5" s="29" t="s">
        <v>62</v>
      </c>
      <c r="L5" s="36">
        <v>6293.5199999999995</v>
      </c>
      <c r="M5" s="36">
        <v>125.87039999999999</v>
      </c>
      <c r="N5" s="36">
        <v>6167.6495999999997</v>
      </c>
    </row>
    <row r="6" spans="1:15" x14ac:dyDescent="0.25">
      <c r="A6" s="29" t="s">
        <v>18</v>
      </c>
      <c r="B6" s="29" t="s">
        <v>56</v>
      </c>
      <c r="C6" s="29" t="s">
        <v>95</v>
      </c>
      <c r="D6" s="29" t="s">
        <v>96</v>
      </c>
      <c r="E6" s="29" t="s">
        <v>15</v>
      </c>
      <c r="F6" s="29" t="s">
        <v>12</v>
      </c>
      <c r="G6" s="29" t="s">
        <v>59</v>
      </c>
      <c r="H6" s="29" t="s">
        <v>48</v>
      </c>
      <c r="I6" s="36">
        <v>7648758</v>
      </c>
      <c r="J6" s="36">
        <v>382438</v>
      </c>
      <c r="K6" s="29" t="s">
        <v>62</v>
      </c>
      <c r="L6" s="36">
        <v>275355.36</v>
      </c>
      <c r="M6" s="36">
        <v>5507.1071999999995</v>
      </c>
      <c r="N6" s="36">
        <v>269848.25279999996</v>
      </c>
    </row>
    <row r="7" spans="1:15" x14ac:dyDescent="0.25">
      <c r="A7" s="29" t="s">
        <v>18</v>
      </c>
      <c r="B7" s="29" t="s">
        <v>56</v>
      </c>
      <c r="C7" s="29" t="s">
        <v>97</v>
      </c>
      <c r="D7" s="29" t="s">
        <v>98</v>
      </c>
      <c r="E7" s="29" t="s">
        <v>15</v>
      </c>
      <c r="F7" s="29" t="s">
        <v>47</v>
      </c>
      <c r="G7" s="29" t="s">
        <v>58</v>
      </c>
      <c r="H7" s="29" t="s">
        <v>48</v>
      </c>
      <c r="I7" s="36">
        <v>43940</v>
      </c>
      <c r="J7" s="36">
        <v>6591</v>
      </c>
      <c r="K7" s="29" t="s">
        <v>62</v>
      </c>
      <c r="L7" s="36">
        <v>4745.5199999999995</v>
      </c>
      <c r="M7" s="36">
        <v>94.910399999999996</v>
      </c>
      <c r="N7" s="36">
        <v>4650.6095999999998</v>
      </c>
    </row>
    <row r="8" spans="1:15" x14ac:dyDescent="0.25">
      <c r="A8" s="29" t="s">
        <v>18</v>
      </c>
      <c r="B8" s="29" t="s">
        <v>56</v>
      </c>
      <c r="C8" s="29" t="s">
        <v>99</v>
      </c>
      <c r="D8" s="29" t="s">
        <v>100</v>
      </c>
      <c r="E8" s="29" t="s">
        <v>15</v>
      </c>
      <c r="F8" s="29" t="s">
        <v>13</v>
      </c>
      <c r="G8" s="29" t="s">
        <v>58</v>
      </c>
      <c r="H8" s="29" t="s">
        <v>48</v>
      </c>
      <c r="I8" s="36">
        <v>34445</v>
      </c>
      <c r="J8" s="36">
        <v>5167</v>
      </c>
      <c r="K8" s="29" t="s">
        <v>62</v>
      </c>
      <c r="L8" s="36">
        <v>3720.24</v>
      </c>
      <c r="M8" s="36">
        <v>74.404799999999994</v>
      </c>
      <c r="N8" s="36">
        <v>3645.8352</v>
      </c>
    </row>
    <row r="9" spans="1:15" x14ac:dyDescent="0.25">
      <c r="A9" s="29" t="s">
        <v>18</v>
      </c>
      <c r="B9" s="29" t="s">
        <v>56</v>
      </c>
      <c r="C9" s="29" t="s">
        <v>101</v>
      </c>
      <c r="D9" s="29" t="s">
        <v>102</v>
      </c>
      <c r="E9" s="29" t="s">
        <v>15</v>
      </c>
      <c r="F9" s="29" t="s">
        <v>13</v>
      </c>
      <c r="G9" s="29" t="s">
        <v>58</v>
      </c>
      <c r="H9" s="29" t="s">
        <v>48</v>
      </c>
      <c r="I9" s="36">
        <v>406780</v>
      </c>
      <c r="J9" s="36">
        <v>61017</v>
      </c>
      <c r="K9" s="29" t="s">
        <v>62</v>
      </c>
      <c r="L9" s="36">
        <v>43932.24</v>
      </c>
      <c r="M9" s="36">
        <v>878.64480000000003</v>
      </c>
      <c r="N9" s="36">
        <v>43053.595199999996</v>
      </c>
    </row>
    <row r="10" spans="1:15" x14ac:dyDescent="0.25">
      <c r="A10" s="29" t="s">
        <v>18</v>
      </c>
      <c r="B10" s="29" t="s">
        <v>56</v>
      </c>
      <c r="C10" s="29" t="s">
        <v>103</v>
      </c>
      <c r="D10" s="29" t="s">
        <v>104</v>
      </c>
      <c r="E10" s="29" t="s">
        <v>15</v>
      </c>
      <c r="F10" s="29" t="s">
        <v>13</v>
      </c>
      <c r="G10" s="29" t="s">
        <v>59</v>
      </c>
      <c r="H10" s="29" t="s">
        <v>48</v>
      </c>
      <c r="I10" s="36">
        <v>5442391</v>
      </c>
      <c r="J10" s="36">
        <v>272120</v>
      </c>
      <c r="K10" s="29" t="s">
        <v>62</v>
      </c>
      <c r="L10" s="36">
        <v>195926.39999999999</v>
      </c>
      <c r="M10" s="36">
        <v>3918.5279999999998</v>
      </c>
      <c r="N10" s="36">
        <v>192007.872</v>
      </c>
    </row>
    <row r="11" spans="1:15" x14ac:dyDescent="0.25">
      <c r="A11" s="29" t="s">
        <v>18</v>
      </c>
      <c r="B11" s="29" t="s">
        <v>56</v>
      </c>
      <c r="C11" s="29" t="s">
        <v>105</v>
      </c>
      <c r="D11" s="29" t="s">
        <v>106</v>
      </c>
      <c r="E11" s="29" t="s">
        <v>15</v>
      </c>
      <c r="F11" s="29" t="s">
        <v>13</v>
      </c>
      <c r="G11" s="29" t="s">
        <v>59</v>
      </c>
      <c r="H11" s="29" t="s">
        <v>48</v>
      </c>
      <c r="I11" s="36">
        <v>1465045</v>
      </c>
      <c r="J11" s="36">
        <v>73253</v>
      </c>
      <c r="K11" s="29" t="s">
        <v>62</v>
      </c>
      <c r="L11" s="36">
        <v>52742.159999999996</v>
      </c>
      <c r="M11" s="36">
        <v>1054.8432</v>
      </c>
      <c r="N11" s="36">
        <v>51687.316799999993</v>
      </c>
    </row>
    <row r="12" spans="1:15" x14ac:dyDescent="0.25">
      <c r="A12" s="29" t="s">
        <v>18</v>
      </c>
      <c r="B12" s="29" t="s">
        <v>56</v>
      </c>
      <c r="C12" s="29" t="s">
        <v>107</v>
      </c>
      <c r="D12" s="29" t="s">
        <v>108</v>
      </c>
      <c r="E12" s="29" t="s">
        <v>15</v>
      </c>
      <c r="F12" s="29" t="s">
        <v>12</v>
      </c>
      <c r="G12" s="29" t="s">
        <v>58</v>
      </c>
      <c r="H12" s="29" t="s">
        <v>48</v>
      </c>
      <c r="I12" s="36">
        <v>179025</v>
      </c>
      <c r="J12" s="36">
        <v>26854</v>
      </c>
      <c r="K12" s="29" t="s">
        <v>62</v>
      </c>
      <c r="L12" s="36">
        <v>19334.88</v>
      </c>
      <c r="M12" s="36">
        <v>386.69760000000002</v>
      </c>
      <c r="N12" s="36">
        <v>18948.182400000002</v>
      </c>
    </row>
    <row r="13" spans="1:15" x14ac:dyDescent="0.25">
      <c r="A13" s="29" t="s">
        <v>18</v>
      </c>
      <c r="B13" s="29" t="s">
        <v>56</v>
      </c>
      <c r="C13" s="29" t="s">
        <v>109</v>
      </c>
      <c r="D13" s="29" t="s">
        <v>69</v>
      </c>
      <c r="E13" s="29" t="s">
        <v>15</v>
      </c>
      <c r="F13" s="29" t="s">
        <v>13</v>
      </c>
      <c r="G13" s="29" t="s">
        <v>58</v>
      </c>
      <c r="H13" s="29" t="s">
        <v>48</v>
      </c>
      <c r="I13" s="36">
        <v>49679</v>
      </c>
      <c r="J13" s="36">
        <v>7452</v>
      </c>
      <c r="K13" s="29" t="s">
        <v>62</v>
      </c>
      <c r="L13" s="36">
        <v>5365.44</v>
      </c>
      <c r="M13" s="36">
        <v>107.30879999999999</v>
      </c>
      <c r="N13" s="36">
        <v>5258.1311999999998</v>
      </c>
    </row>
    <row r="14" spans="1:15" x14ac:dyDescent="0.25">
      <c r="A14" s="29" t="s">
        <v>18</v>
      </c>
      <c r="B14" s="29" t="s">
        <v>56</v>
      </c>
      <c r="C14" s="29" t="s">
        <v>110</v>
      </c>
      <c r="D14" s="29" t="s">
        <v>69</v>
      </c>
      <c r="E14" s="29" t="s">
        <v>15</v>
      </c>
      <c r="F14" s="29" t="s">
        <v>12</v>
      </c>
      <c r="G14" s="29" t="s">
        <v>58</v>
      </c>
      <c r="H14" s="29" t="s">
        <v>48</v>
      </c>
      <c r="I14" s="36">
        <v>49679</v>
      </c>
      <c r="J14" s="36">
        <v>7452</v>
      </c>
      <c r="K14" s="29" t="s">
        <v>62</v>
      </c>
      <c r="L14" s="36">
        <v>5365.44</v>
      </c>
      <c r="M14" s="36">
        <v>107.30879999999999</v>
      </c>
      <c r="N14" s="36">
        <v>5258.1311999999998</v>
      </c>
    </row>
    <row r="15" spans="1:15" x14ac:dyDescent="0.25">
      <c r="A15" s="29" t="s">
        <v>18</v>
      </c>
      <c r="B15" s="29" t="s">
        <v>56</v>
      </c>
      <c r="C15" s="29" t="s">
        <v>111</v>
      </c>
      <c r="D15" s="29" t="s">
        <v>112</v>
      </c>
      <c r="E15" s="29" t="s">
        <v>15</v>
      </c>
      <c r="F15" s="29" t="s">
        <v>13</v>
      </c>
      <c r="G15" s="29" t="s">
        <v>58</v>
      </c>
      <c r="H15" s="29" t="s">
        <v>48</v>
      </c>
      <c r="I15" s="36">
        <v>14842</v>
      </c>
      <c r="J15" s="36">
        <v>2226</v>
      </c>
      <c r="K15" s="29" t="s">
        <v>62</v>
      </c>
      <c r="L15" s="36">
        <v>1602.72</v>
      </c>
      <c r="M15" s="36">
        <v>32.054400000000001</v>
      </c>
      <c r="N15" s="36">
        <v>1570.6656</v>
      </c>
    </row>
    <row r="16" spans="1:15" x14ac:dyDescent="0.25">
      <c r="A16" s="29" t="s">
        <v>18</v>
      </c>
      <c r="B16" s="29" t="s">
        <v>56</v>
      </c>
      <c r="C16" s="29" t="s">
        <v>111</v>
      </c>
      <c r="D16" s="29" t="s">
        <v>112</v>
      </c>
      <c r="E16" s="29" t="s">
        <v>15</v>
      </c>
      <c r="F16" s="29" t="s">
        <v>13</v>
      </c>
      <c r="G16" s="29" t="s">
        <v>58</v>
      </c>
      <c r="H16" s="29" t="s">
        <v>48</v>
      </c>
      <c r="I16" s="36">
        <v>48068</v>
      </c>
      <c r="J16" s="36">
        <v>7211</v>
      </c>
      <c r="K16" s="29" t="s">
        <v>62</v>
      </c>
      <c r="L16" s="36">
        <v>5191.92</v>
      </c>
      <c r="M16" s="36">
        <v>103.83840000000001</v>
      </c>
      <c r="N16" s="36">
        <v>5088.0816000000004</v>
      </c>
    </row>
    <row r="17" spans="1:14" x14ac:dyDescent="0.25">
      <c r="A17" s="29" t="s">
        <v>18</v>
      </c>
      <c r="B17" s="29" t="s">
        <v>56</v>
      </c>
      <c r="C17" s="29" t="s">
        <v>113</v>
      </c>
      <c r="D17" s="29" t="s">
        <v>114</v>
      </c>
      <c r="E17" s="29" t="s">
        <v>15</v>
      </c>
      <c r="F17" s="29" t="s">
        <v>13</v>
      </c>
      <c r="G17" s="29" t="s">
        <v>58</v>
      </c>
      <c r="H17" s="29" t="s">
        <v>48</v>
      </c>
      <c r="I17" s="36">
        <v>182252</v>
      </c>
      <c r="J17" s="36">
        <v>27338</v>
      </c>
      <c r="K17" s="29" t="s">
        <v>62</v>
      </c>
      <c r="L17" s="36">
        <v>19683.36</v>
      </c>
      <c r="M17" s="36">
        <v>393.66720000000004</v>
      </c>
      <c r="N17" s="36">
        <v>19289.692800000001</v>
      </c>
    </row>
    <row r="18" spans="1:14" x14ac:dyDescent="0.25">
      <c r="A18" s="29" t="s">
        <v>18</v>
      </c>
      <c r="B18" s="29" t="s">
        <v>56</v>
      </c>
      <c r="C18" s="29" t="s">
        <v>115</v>
      </c>
      <c r="D18" s="29" t="s">
        <v>116</v>
      </c>
      <c r="E18" s="29" t="s">
        <v>15</v>
      </c>
      <c r="F18" s="29" t="s">
        <v>13</v>
      </c>
      <c r="G18" s="29" t="s">
        <v>58</v>
      </c>
      <c r="H18" s="29" t="s">
        <v>48</v>
      </c>
      <c r="I18" s="36">
        <v>23959</v>
      </c>
      <c r="J18" s="36">
        <v>3591</v>
      </c>
      <c r="K18" s="29" t="s">
        <v>62</v>
      </c>
      <c r="L18" s="36">
        <v>2585.52</v>
      </c>
      <c r="M18" s="36">
        <v>51.7104</v>
      </c>
      <c r="N18" s="36">
        <v>2533.8096</v>
      </c>
    </row>
    <row r="19" spans="1:14" x14ac:dyDescent="0.25">
      <c r="A19" s="29" t="s">
        <v>18</v>
      </c>
      <c r="B19" s="29" t="s">
        <v>56</v>
      </c>
      <c r="C19" s="29" t="s">
        <v>115</v>
      </c>
      <c r="D19" s="29" t="s">
        <v>116</v>
      </c>
      <c r="E19" s="29" t="s">
        <v>15</v>
      </c>
      <c r="F19" s="29" t="s">
        <v>13</v>
      </c>
      <c r="G19" s="29" t="s">
        <v>58</v>
      </c>
      <c r="H19" s="29" t="s">
        <v>48</v>
      </c>
      <c r="I19" s="36">
        <v>1096</v>
      </c>
      <c r="J19" s="36">
        <v>166</v>
      </c>
      <c r="K19" s="29" t="s">
        <v>62</v>
      </c>
      <c r="L19" s="36">
        <v>119.52</v>
      </c>
      <c r="M19" s="36">
        <v>2.3904000000000001</v>
      </c>
      <c r="N19" s="36">
        <v>117.1296</v>
      </c>
    </row>
    <row r="20" spans="1:14" x14ac:dyDescent="0.25">
      <c r="A20" s="29" t="s">
        <v>18</v>
      </c>
      <c r="B20" s="29" t="s">
        <v>56</v>
      </c>
      <c r="C20" s="29" t="s">
        <v>117</v>
      </c>
      <c r="D20" s="29" t="s">
        <v>118</v>
      </c>
      <c r="E20" s="29" t="s">
        <v>15</v>
      </c>
      <c r="F20" s="29" t="s">
        <v>13</v>
      </c>
      <c r="G20" s="29" t="s">
        <v>58</v>
      </c>
      <c r="H20" s="29" t="s">
        <v>48</v>
      </c>
      <c r="I20" s="36">
        <v>25782</v>
      </c>
      <c r="J20" s="36">
        <v>3867</v>
      </c>
      <c r="K20" s="29" t="s">
        <v>62</v>
      </c>
      <c r="L20" s="36">
        <v>2784.24</v>
      </c>
      <c r="M20" s="36">
        <v>55.684799999999996</v>
      </c>
      <c r="N20" s="36">
        <v>2728.5551999999998</v>
      </c>
    </row>
    <row r="21" spans="1:14" x14ac:dyDescent="0.25">
      <c r="A21" s="29" t="s">
        <v>18</v>
      </c>
      <c r="B21" s="29" t="s">
        <v>56</v>
      </c>
      <c r="C21" s="29" t="s">
        <v>119</v>
      </c>
      <c r="D21" s="29" t="s">
        <v>120</v>
      </c>
      <c r="E21" s="29" t="s">
        <v>15</v>
      </c>
      <c r="F21" s="29" t="s">
        <v>13</v>
      </c>
      <c r="G21" s="29" t="s">
        <v>58</v>
      </c>
      <c r="H21" s="29" t="s">
        <v>48</v>
      </c>
      <c r="I21" s="36">
        <v>13063</v>
      </c>
      <c r="J21" s="36">
        <v>1959</v>
      </c>
      <c r="K21" s="29" t="s">
        <v>62</v>
      </c>
      <c r="L21" s="36">
        <v>1410.48</v>
      </c>
      <c r="M21" s="36">
        <v>28.209600000000002</v>
      </c>
      <c r="N21" s="36">
        <v>1382.2704000000001</v>
      </c>
    </row>
    <row r="22" spans="1:14" x14ac:dyDescent="0.25">
      <c r="A22" s="29" t="s">
        <v>18</v>
      </c>
      <c r="B22" s="29" t="s">
        <v>56</v>
      </c>
      <c r="C22" s="29" t="s">
        <v>121</v>
      </c>
      <c r="D22" s="29" t="s">
        <v>122</v>
      </c>
      <c r="E22" s="29" t="s">
        <v>15</v>
      </c>
      <c r="F22" s="29" t="s">
        <v>13</v>
      </c>
      <c r="G22" s="29" t="s">
        <v>58</v>
      </c>
      <c r="H22" s="29" t="s">
        <v>48</v>
      </c>
      <c r="I22" s="36">
        <v>19667</v>
      </c>
      <c r="J22" s="36">
        <v>2950</v>
      </c>
      <c r="K22" s="29" t="s">
        <v>62</v>
      </c>
      <c r="L22" s="36">
        <v>2124</v>
      </c>
      <c r="M22" s="36">
        <v>42.480000000000004</v>
      </c>
      <c r="N22" s="36">
        <v>2081.52</v>
      </c>
    </row>
    <row r="23" spans="1:14" x14ac:dyDescent="0.25">
      <c r="A23" s="29" t="s">
        <v>18</v>
      </c>
      <c r="B23" s="29" t="s">
        <v>56</v>
      </c>
      <c r="C23" s="29" t="s">
        <v>123</v>
      </c>
      <c r="D23" s="29" t="s">
        <v>124</v>
      </c>
      <c r="E23" s="29" t="s">
        <v>15</v>
      </c>
      <c r="F23" s="29" t="s">
        <v>13</v>
      </c>
      <c r="G23" s="29" t="s">
        <v>58</v>
      </c>
      <c r="H23" s="29" t="s">
        <v>48</v>
      </c>
      <c r="I23" s="36">
        <v>30957</v>
      </c>
      <c r="J23" s="36">
        <v>4644</v>
      </c>
      <c r="K23" s="29" t="s">
        <v>62</v>
      </c>
      <c r="L23" s="36">
        <v>3343.68</v>
      </c>
      <c r="M23" s="36">
        <v>66.873599999999996</v>
      </c>
      <c r="N23" s="36">
        <v>3276.8063999999999</v>
      </c>
    </row>
    <row r="24" spans="1:14" x14ac:dyDescent="0.25">
      <c r="A24" s="29" t="s">
        <v>18</v>
      </c>
      <c r="B24" s="29" t="s">
        <v>56</v>
      </c>
      <c r="C24" s="29" t="s">
        <v>125</v>
      </c>
      <c r="D24" s="29" t="s">
        <v>126</v>
      </c>
      <c r="E24" s="29" t="s">
        <v>15</v>
      </c>
      <c r="F24" s="29" t="s">
        <v>13</v>
      </c>
      <c r="G24" s="29" t="s">
        <v>58</v>
      </c>
      <c r="H24" s="29" t="s">
        <v>48</v>
      </c>
      <c r="I24" s="36">
        <v>25163</v>
      </c>
      <c r="J24" s="36">
        <v>3774</v>
      </c>
      <c r="K24" s="29" t="s">
        <v>62</v>
      </c>
      <c r="L24" s="36">
        <v>2717.2799999999997</v>
      </c>
      <c r="M24" s="36">
        <v>54.345599999999997</v>
      </c>
      <c r="N24" s="36">
        <v>2662.9343999999996</v>
      </c>
    </row>
    <row r="25" spans="1:14" x14ac:dyDescent="0.25">
      <c r="A25" s="29" t="s">
        <v>18</v>
      </c>
      <c r="B25" s="29" t="s">
        <v>56</v>
      </c>
      <c r="C25" s="29" t="s">
        <v>127</v>
      </c>
      <c r="D25" s="29" t="s">
        <v>102</v>
      </c>
      <c r="E25" s="29" t="s">
        <v>15</v>
      </c>
      <c r="F25" s="29" t="s">
        <v>13</v>
      </c>
      <c r="G25" s="29" t="s">
        <v>58</v>
      </c>
      <c r="H25" s="29" t="s">
        <v>48</v>
      </c>
      <c r="I25" s="36">
        <v>19822</v>
      </c>
      <c r="J25" s="36">
        <v>2973</v>
      </c>
      <c r="K25" s="29" t="s">
        <v>62</v>
      </c>
      <c r="L25" s="36">
        <v>2140.56</v>
      </c>
      <c r="M25" s="36">
        <v>42.811199999999999</v>
      </c>
      <c r="N25" s="36">
        <v>2097.7487999999998</v>
      </c>
    </row>
    <row r="26" spans="1:14" x14ac:dyDescent="0.25">
      <c r="A26" s="29" t="s">
        <v>18</v>
      </c>
      <c r="B26" s="29" t="s">
        <v>56</v>
      </c>
      <c r="C26" s="29" t="s">
        <v>128</v>
      </c>
      <c r="D26" s="29" t="s">
        <v>129</v>
      </c>
      <c r="E26" s="29" t="s">
        <v>15</v>
      </c>
      <c r="F26" s="29" t="s">
        <v>13</v>
      </c>
      <c r="G26" s="29" t="s">
        <v>58</v>
      </c>
      <c r="H26" s="29" t="s">
        <v>48</v>
      </c>
      <c r="I26" s="36">
        <v>118075</v>
      </c>
      <c r="J26" s="36">
        <v>17711</v>
      </c>
      <c r="K26" s="29" t="s">
        <v>62</v>
      </c>
      <c r="L26" s="36">
        <v>12751.92</v>
      </c>
      <c r="M26" s="36">
        <v>255.0384</v>
      </c>
      <c r="N26" s="36">
        <v>12496.881600000001</v>
      </c>
    </row>
    <row r="27" spans="1:14" x14ac:dyDescent="0.25">
      <c r="A27" s="29" t="s">
        <v>18</v>
      </c>
      <c r="B27" s="29" t="s">
        <v>56</v>
      </c>
      <c r="C27" s="29" t="s">
        <v>130</v>
      </c>
      <c r="D27" s="29" t="s">
        <v>114</v>
      </c>
      <c r="E27" s="29" t="s">
        <v>15</v>
      </c>
      <c r="F27" s="29" t="s">
        <v>13</v>
      </c>
      <c r="G27" s="29" t="s">
        <v>58</v>
      </c>
      <c r="H27" s="29" t="s">
        <v>48</v>
      </c>
      <c r="I27" s="36">
        <v>94510</v>
      </c>
      <c r="J27" s="36">
        <v>14177</v>
      </c>
      <c r="K27" s="29" t="s">
        <v>62</v>
      </c>
      <c r="L27" s="36">
        <v>10207.44</v>
      </c>
      <c r="M27" s="36">
        <v>204.14880000000002</v>
      </c>
      <c r="N27" s="36">
        <v>10003.2912</v>
      </c>
    </row>
    <row r="28" spans="1:14" x14ac:dyDescent="0.25">
      <c r="A28" s="29" t="s">
        <v>18</v>
      </c>
      <c r="B28" s="29" t="s">
        <v>56</v>
      </c>
      <c r="C28" s="29" t="s">
        <v>76</v>
      </c>
      <c r="D28" s="29" t="s">
        <v>77</v>
      </c>
      <c r="E28" s="29" t="s">
        <v>15</v>
      </c>
      <c r="F28" s="29" t="s">
        <v>13</v>
      </c>
      <c r="G28" s="29" t="s">
        <v>58</v>
      </c>
      <c r="H28" s="29" t="s">
        <v>48</v>
      </c>
      <c r="I28" s="36">
        <v>34894</v>
      </c>
      <c r="J28" s="36">
        <v>5234</v>
      </c>
      <c r="K28" s="29" t="s">
        <v>62</v>
      </c>
      <c r="L28" s="36">
        <v>3768.48</v>
      </c>
      <c r="M28" s="36">
        <v>75.369600000000005</v>
      </c>
      <c r="N28" s="36">
        <v>3693.1104</v>
      </c>
    </row>
    <row r="29" spans="1:14" x14ac:dyDescent="0.25">
      <c r="A29" s="29" t="s">
        <v>18</v>
      </c>
      <c r="B29" s="29" t="s">
        <v>56</v>
      </c>
      <c r="C29" s="29" t="s">
        <v>131</v>
      </c>
      <c r="D29" s="29" t="s">
        <v>132</v>
      </c>
      <c r="E29" s="29" t="s">
        <v>15</v>
      </c>
      <c r="F29" s="29" t="s">
        <v>13</v>
      </c>
      <c r="G29" s="29" t="s">
        <v>58</v>
      </c>
      <c r="H29" s="29" t="s">
        <v>48</v>
      </c>
      <c r="I29" s="36">
        <v>313543</v>
      </c>
      <c r="J29" s="36">
        <v>47032</v>
      </c>
      <c r="K29" s="29" t="s">
        <v>62</v>
      </c>
      <c r="L29" s="36">
        <v>33863.040000000001</v>
      </c>
      <c r="M29" s="36">
        <v>677.26080000000002</v>
      </c>
      <c r="N29" s="36">
        <v>33185.779200000004</v>
      </c>
    </row>
    <row r="30" spans="1:14" x14ac:dyDescent="0.25">
      <c r="A30" s="29" t="s">
        <v>18</v>
      </c>
      <c r="B30" s="29" t="s">
        <v>56</v>
      </c>
      <c r="C30" s="29" t="s">
        <v>133</v>
      </c>
      <c r="D30" s="29" t="s">
        <v>134</v>
      </c>
      <c r="E30" s="29" t="s">
        <v>15</v>
      </c>
      <c r="F30" s="29" t="s">
        <v>13</v>
      </c>
      <c r="G30" s="29" t="s">
        <v>58</v>
      </c>
      <c r="H30" s="29" t="s">
        <v>48</v>
      </c>
      <c r="I30" s="36">
        <v>45353</v>
      </c>
      <c r="J30" s="36">
        <v>6803</v>
      </c>
      <c r="K30" s="29" t="s">
        <v>62</v>
      </c>
      <c r="L30" s="36">
        <v>4898.16</v>
      </c>
      <c r="M30" s="36">
        <v>97.963200000000001</v>
      </c>
      <c r="N30" s="36">
        <v>4800.1967999999997</v>
      </c>
    </row>
    <row r="31" spans="1:14" x14ac:dyDescent="0.25">
      <c r="A31" s="29" t="s">
        <v>18</v>
      </c>
      <c r="B31" s="29" t="s">
        <v>56</v>
      </c>
      <c r="C31" s="29" t="s">
        <v>135</v>
      </c>
      <c r="D31" s="29" t="s">
        <v>134</v>
      </c>
      <c r="E31" s="29" t="s">
        <v>15</v>
      </c>
      <c r="F31" s="29" t="s">
        <v>13</v>
      </c>
      <c r="G31" s="29" t="s">
        <v>58</v>
      </c>
      <c r="H31" s="29" t="s">
        <v>48</v>
      </c>
      <c r="I31" s="36">
        <v>26685</v>
      </c>
      <c r="J31" s="36">
        <v>4003</v>
      </c>
      <c r="K31" s="29" t="s">
        <v>62</v>
      </c>
      <c r="L31" s="36">
        <v>2882.16</v>
      </c>
      <c r="M31" s="36">
        <v>57.6432</v>
      </c>
      <c r="N31" s="36">
        <v>2824.5167999999999</v>
      </c>
    </row>
    <row r="32" spans="1:14" x14ac:dyDescent="0.25">
      <c r="A32" s="29" t="s">
        <v>18</v>
      </c>
      <c r="B32" s="29" t="s">
        <v>56</v>
      </c>
      <c r="C32" s="29" t="s">
        <v>136</v>
      </c>
      <c r="D32" s="29" t="s">
        <v>137</v>
      </c>
      <c r="E32" s="29" t="s">
        <v>15</v>
      </c>
      <c r="F32" s="29" t="s">
        <v>13</v>
      </c>
      <c r="G32" s="29" t="s">
        <v>58</v>
      </c>
      <c r="H32" s="29" t="s">
        <v>48</v>
      </c>
      <c r="I32" s="36">
        <v>163445</v>
      </c>
      <c r="J32" s="36">
        <v>24517</v>
      </c>
      <c r="K32" s="29" t="s">
        <v>62</v>
      </c>
      <c r="L32" s="36">
        <v>17652.239999999998</v>
      </c>
      <c r="M32" s="36">
        <v>353.04479999999995</v>
      </c>
      <c r="N32" s="36">
        <v>17299.195199999998</v>
      </c>
    </row>
    <row r="33" spans="1:14" x14ac:dyDescent="0.25">
      <c r="A33" s="29" t="s">
        <v>18</v>
      </c>
      <c r="B33" s="29" t="s">
        <v>56</v>
      </c>
      <c r="C33" s="29" t="s">
        <v>138</v>
      </c>
      <c r="D33" s="29" t="s">
        <v>139</v>
      </c>
      <c r="E33" s="29" t="s">
        <v>15</v>
      </c>
      <c r="F33" s="29" t="s">
        <v>64</v>
      </c>
      <c r="G33" s="29" t="s">
        <v>58</v>
      </c>
      <c r="H33" s="29" t="s">
        <v>48</v>
      </c>
      <c r="I33" s="36">
        <v>23911</v>
      </c>
      <c r="J33" s="36">
        <v>3587</v>
      </c>
      <c r="K33" s="29" t="s">
        <v>62</v>
      </c>
      <c r="L33" s="36">
        <v>2582.64</v>
      </c>
      <c r="M33" s="36">
        <v>51.652799999999999</v>
      </c>
      <c r="N33" s="36">
        <v>2530.9872</v>
      </c>
    </row>
    <row r="34" spans="1:14" x14ac:dyDescent="0.25">
      <c r="A34" s="29" t="s">
        <v>18</v>
      </c>
      <c r="B34" s="29" t="s">
        <v>56</v>
      </c>
      <c r="C34" s="29" t="s">
        <v>140</v>
      </c>
      <c r="D34" s="29" t="s">
        <v>141</v>
      </c>
      <c r="E34" s="29" t="s">
        <v>15</v>
      </c>
      <c r="F34" s="29" t="s">
        <v>64</v>
      </c>
      <c r="G34" s="29" t="s">
        <v>58</v>
      </c>
      <c r="H34" s="29" t="s">
        <v>48</v>
      </c>
      <c r="I34" s="36">
        <v>36525</v>
      </c>
      <c r="J34" s="36">
        <v>5479</v>
      </c>
      <c r="K34" s="29" t="s">
        <v>62</v>
      </c>
      <c r="L34" s="36">
        <v>3944.8799999999997</v>
      </c>
      <c r="M34" s="36">
        <v>78.897599999999997</v>
      </c>
      <c r="N34" s="36">
        <v>3865.9823999999999</v>
      </c>
    </row>
    <row r="35" spans="1:14" x14ac:dyDescent="0.25">
      <c r="A35" s="29" t="s">
        <v>18</v>
      </c>
      <c r="B35" s="29" t="s">
        <v>56</v>
      </c>
      <c r="C35" s="29" t="s">
        <v>142</v>
      </c>
      <c r="D35" s="29" t="s">
        <v>143</v>
      </c>
      <c r="E35" s="29" t="s">
        <v>15</v>
      </c>
      <c r="F35" s="29" t="s">
        <v>13</v>
      </c>
      <c r="G35" s="29" t="s">
        <v>58</v>
      </c>
      <c r="H35" s="29" t="s">
        <v>48</v>
      </c>
      <c r="I35" s="36">
        <v>29742</v>
      </c>
      <c r="J35" s="36">
        <v>4461</v>
      </c>
      <c r="K35" s="29" t="s">
        <v>62</v>
      </c>
      <c r="L35" s="36">
        <v>3211.92</v>
      </c>
      <c r="M35" s="36">
        <v>64.238399999999999</v>
      </c>
      <c r="N35" s="36">
        <v>3147.6815999999999</v>
      </c>
    </row>
    <row r="36" spans="1:14" x14ac:dyDescent="0.25">
      <c r="A36" s="29" t="s">
        <v>18</v>
      </c>
      <c r="B36" s="29" t="s">
        <v>56</v>
      </c>
      <c r="C36" s="29" t="s">
        <v>144</v>
      </c>
      <c r="D36" s="29" t="s">
        <v>145</v>
      </c>
      <c r="E36" s="29" t="s">
        <v>15</v>
      </c>
      <c r="F36" s="29" t="s">
        <v>13</v>
      </c>
      <c r="G36" s="29" t="s">
        <v>58</v>
      </c>
      <c r="H36" s="29" t="s">
        <v>48</v>
      </c>
      <c r="I36" s="36">
        <v>58131</v>
      </c>
      <c r="J36" s="36">
        <v>8720</v>
      </c>
      <c r="K36" s="29" t="s">
        <v>62</v>
      </c>
      <c r="L36" s="36">
        <v>6278.4</v>
      </c>
      <c r="M36" s="36">
        <v>125.568</v>
      </c>
      <c r="N36" s="36">
        <v>6152.8319999999994</v>
      </c>
    </row>
    <row r="37" spans="1:14" x14ac:dyDescent="0.25">
      <c r="A37" s="29" t="s">
        <v>18</v>
      </c>
      <c r="B37" s="29" t="s">
        <v>56</v>
      </c>
      <c r="C37" s="29" t="s">
        <v>146</v>
      </c>
      <c r="D37" s="29" t="s">
        <v>147</v>
      </c>
      <c r="E37" s="29" t="s">
        <v>15</v>
      </c>
      <c r="F37" s="29" t="s">
        <v>13</v>
      </c>
      <c r="G37" s="29" t="s">
        <v>58</v>
      </c>
      <c r="H37" s="29" t="s">
        <v>48</v>
      </c>
      <c r="I37" s="36">
        <v>29969</v>
      </c>
      <c r="J37" s="36">
        <v>4495</v>
      </c>
      <c r="K37" s="29" t="s">
        <v>62</v>
      </c>
      <c r="L37" s="36">
        <v>3236.4</v>
      </c>
      <c r="M37" s="36">
        <v>64.728000000000009</v>
      </c>
      <c r="N37" s="36">
        <v>3171.672</v>
      </c>
    </row>
    <row r="38" spans="1:14" x14ac:dyDescent="0.25">
      <c r="A38" s="29" t="s">
        <v>18</v>
      </c>
      <c r="B38" s="29" t="s">
        <v>56</v>
      </c>
      <c r="C38" s="29" t="s">
        <v>148</v>
      </c>
      <c r="D38" s="29" t="s">
        <v>149</v>
      </c>
      <c r="E38" s="29" t="s">
        <v>15</v>
      </c>
      <c r="F38" s="29" t="s">
        <v>13</v>
      </c>
      <c r="G38" s="29" t="s">
        <v>58</v>
      </c>
      <c r="H38" s="29" t="s">
        <v>48</v>
      </c>
      <c r="I38" s="36">
        <v>162181</v>
      </c>
      <c r="J38" s="36">
        <v>24326</v>
      </c>
      <c r="K38" s="29" t="s">
        <v>62</v>
      </c>
      <c r="L38" s="36">
        <v>17514.72</v>
      </c>
      <c r="M38" s="36">
        <v>350.29440000000005</v>
      </c>
      <c r="N38" s="36">
        <v>17164.425600000002</v>
      </c>
    </row>
    <row r="39" spans="1:14" x14ac:dyDescent="0.25">
      <c r="A39" s="29" t="s">
        <v>18</v>
      </c>
      <c r="B39" s="29" t="s">
        <v>56</v>
      </c>
      <c r="C39" s="29" t="s">
        <v>150</v>
      </c>
      <c r="D39" s="29" t="s">
        <v>151</v>
      </c>
      <c r="E39" s="29" t="s">
        <v>15</v>
      </c>
      <c r="F39" s="29" t="s">
        <v>47</v>
      </c>
      <c r="G39" s="29" t="s">
        <v>58</v>
      </c>
      <c r="H39" s="29" t="s">
        <v>48</v>
      </c>
      <c r="I39" s="36">
        <v>12530</v>
      </c>
      <c r="J39" s="36">
        <v>1879</v>
      </c>
      <c r="K39" s="29" t="s">
        <v>62</v>
      </c>
      <c r="L39" s="36">
        <v>1352.8799999999999</v>
      </c>
      <c r="M39" s="36">
        <v>27.057599999999997</v>
      </c>
      <c r="N39" s="36">
        <v>1325.8223999999998</v>
      </c>
    </row>
    <row r="40" spans="1:14" x14ac:dyDescent="0.25">
      <c r="A40" s="29" t="s">
        <v>18</v>
      </c>
      <c r="B40" s="29" t="s">
        <v>56</v>
      </c>
      <c r="C40" s="29" t="s">
        <v>152</v>
      </c>
      <c r="D40" s="29" t="s">
        <v>153</v>
      </c>
      <c r="E40" s="29" t="s">
        <v>15</v>
      </c>
      <c r="F40" s="29" t="s">
        <v>13</v>
      </c>
      <c r="G40" s="29" t="s">
        <v>58</v>
      </c>
      <c r="H40" s="29" t="s">
        <v>48</v>
      </c>
      <c r="I40" s="36">
        <v>35065</v>
      </c>
      <c r="J40" s="36">
        <v>5260</v>
      </c>
      <c r="K40" s="29" t="s">
        <v>62</v>
      </c>
      <c r="L40" s="36">
        <v>3787.2</v>
      </c>
      <c r="M40" s="36">
        <v>75.744</v>
      </c>
      <c r="N40" s="36">
        <v>3711.4559999999997</v>
      </c>
    </row>
    <row r="41" spans="1:14" x14ac:dyDescent="0.25">
      <c r="A41" s="29" t="s">
        <v>18</v>
      </c>
      <c r="B41" s="29" t="s">
        <v>56</v>
      </c>
      <c r="C41" s="29" t="s">
        <v>154</v>
      </c>
      <c r="D41" s="29" t="s">
        <v>155</v>
      </c>
      <c r="E41" s="29" t="s">
        <v>15</v>
      </c>
      <c r="F41" s="29" t="s">
        <v>47</v>
      </c>
      <c r="G41" s="29" t="s">
        <v>58</v>
      </c>
      <c r="H41" s="29" t="s">
        <v>48</v>
      </c>
      <c r="I41" s="36">
        <v>32954</v>
      </c>
      <c r="J41" s="36">
        <v>4943</v>
      </c>
      <c r="K41" s="29" t="s">
        <v>62</v>
      </c>
      <c r="L41" s="36">
        <v>3558.96</v>
      </c>
      <c r="M41" s="36">
        <v>71.179200000000009</v>
      </c>
      <c r="N41" s="36">
        <v>3487.7808</v>
      </c>
    </row>
    <row r="42" spans="1:14" x14ac:dyDescent="0.25">
      <c r="A42" s="29" t="s">
        <v>18</v>
      </c>
      <c r="B42" s="29" t="s">
        <v>56</v>
      </c>
      <c r="C42" s="29" t="s">
        <v>156</v>
      </c>
      <c r="D42" s="29" t="s">
        <v>157</v>
      </c>
      <c r="E42" s="29" t="s">
        <v>15</v>
      </c>
      <c r="F42" s="29" t="s">
        <v>13</v>
      </c>
      <c r="G42" s="29" t="s">
        <v>58</v>
      </c>
      <c r="H42" s="29" t="s">
        <v>48</v>
      </c>
      <c r="I42" s="36">
        <v>12568</v>
      </c>
      <c r="J42" s="36">
        <v>1885</v>
      </c>
      <c r="K42" s="29" t="s">
        <v>62</v>
      </c>
      <c r="L42" s="36">
        <v>1357.2</v>
      </c>
      <c r="M42" s="36">
        <v>27.144000000000002</v>
      </c>
      <c r="N42" s="36">
        <v>1330.056</v>
      </c>
    </row>
    <row r="43" spans="1:14" x14ac:dyDescent="0.25">
      <c r="A43" s="29" t="s">
        <v>18</v>
      </c>
      <c r="B43" s="29" t="s">
        <v>56</v>
      </c>
      <c r="C43" s="29" t="s">
        <v>158</v>
      </c>
      <c r="D43" s="29" t="s">
        <v>159</v>
      </c>
      <c r="E43" s="29" t="s">
        <v>15</v>
      </c>
      <c r="F43" s="29" t="s">
        <v>13</v>
      </c>
      <c r="G43" s="29" t="s">
        <v>58</v>
      </c>
      <c r="H43" s="29" t="s">
        <v>48</v>
      </c>
      <c r="I43" s="36">
        <v>31135</v>
      </c>
      <c r="J43" s="36">
        <v>4670</v>
      </c>
      <c r="K43" s="29" t="s">
        <v>62</v>
      </c>
      <c r="L43" s="36">
        <v>3362.4</v>
      </c>
      <c r="M43" s="36">
        <v>67.248000000000005</v>
      </c>
      <c r="N43" s="36">
        <v>3295.152</v>
      </c>
    </row>
    <row r="44" spans="1:14" x14ac:dyDescent="0.25">
      <c r="A44" s="29" t="s">
        <v>18</v>
      </c>
      <c r="B44" s="29" t="s">
        <v>56</v>
      </c>
      <c r="C44" s="29" t="s">
        <v>160</v>
      </c>
      <c r="D44" s="29" t="s">
        <v>161</v>
      </c>
      <c r="E44" s="29" t="s">
        <v>15</v>
      </c>
      <c r="F44" s="29" t="s">
        <v>13</v>
      </c>
      <c r="G44" s="29" t="s">
        <v>58</v>
      </c>
      <c r="H44" s="29" t="s">
        <v>48</v>
      </c>
      <c r="I44" s="36">
        <v>18633</v>
      </c>
      <c r="J44" s="36">
        <v>2795</v>
      </c>
      <c r="K44" s="29" t="s">
        <v>62</v>
      </c>
      <c r="L44" s="36">
        <v>2012.3999999999999</v>
      </c>
      <c r="M44" s="36">
        <v>40.247999999999998</v>
      </c>
      <c r="N44" s="36">
        <v>1972.1519999999998</v>
      </c>
    </row>
    <row r="45" spans="1:14" x14ac:dyDescent="0.25">
      <c r="A45" s="29" t="s">
        <v>18</v>
      </c>
      <c r="B45" s="29" t="s">
        <v>56</v>
      </c>
      <c r="C45" s="29" t="s">
        <v>162</v>
      </c>
      <c r="D45" s="29" t="s">
        <v>163</v>
      </c>
      <c r="E45" s="29" t="s">
        <v>15</v>
      </c>
      <c r="F45" s="29" t="s">
        <v>13</v>
      </c>
      <c r="G45" s="29" t="s">
        <v>58</v>
      </c>
      <c r="H45" s="29" t="s">
        <v>48</v>
      </c>
      <c r="I45" s="36">
        <v>32389</v>
      </c>
      <c r="J45" s="36">
        <v>4858</v>
      </c>
      <c r="K45" s="29" t="s">
        <v>62</v>
      </c>
      <c r="L45" s="36">
        <v>3497.7599999999998</v>
      </c>
      <c r="M45" s="36">
        <v>69.955199999999991</v>
      </c>
      <c r="N45" s="36">
        <v>3427.8047999999999</v>
      </c>
    </row>
    <row r="46" spans="1:14" x14ac:dyDescent="0.25">
      <c r="A46" s="29" t="s">
        <v>18</v>
      </c>
      <c r="B46" s="29" t="s">
        <v>56</v>
      </c>
      <c r="C46" s="29" t="s">
        <v>164</v>
      </c>
      <c r="D46" s="29" t="s">
        <v>165</v>
      </c>
      <c r="E46" s="29" t="s">
        <v>15</v>
      </c>
      <c r="F46" s="29" t="s">
        <v>47</v>
      </c>
      <c r="G46" s="29" t="s">
        <v>58</v>
      </c>
      <c r="H46" s="29" t="s">
        <v>48</v>
      </c>
      <c r="I46" s="36">
        <v>46826</v>
      </c>
      <c r="J46" s="36">
        <v>7024</v>
      </c>
      <c r="K46" s="29" t="s">
        <v>62</v>
      </c>
      <c r="L46" s="36">
        <v>5057.28</v>
      </c>
      <c r="M46" s="36">
        <v>101.1456</v>
      </c>
      <c r="N46" s="36">
        <v>4956.1343999999999</v>
      </c>
    </row>
    <row r="47" spans="1:14" x14ac:dyDescent="0.25">
      <c r="A47" s="29" t="s">
        <v>18</v>
      </c>
      <c r="B47" s="29" t="s">
        <v>56</v>
      </c>
      <c r="C47" s="29" t="s">
        <v>166</v>
      </c>
      <c r="D47" s="29" t="s">
        <v>167</v>
      </c>
      <c r="E47" s="29" t="s">
        <v>15</v>
      </c>
      <c r="F47" s="29" t="s">
        <v>13</v>
      </c>
      <c r="G47" s="29" t="s">
        <v>58</v>
      </c>
      <c r="H47" s="29" t="s">
        <v>48</v>
      </c>
      <c r="I47" s="36">
        <v>51803</v>
      </c>
      <c r="J47" s="36">
        <v>7770</v>
      </c>
      <c r="K47" s="29" t="s">
        <v>62</v>
      </c>
      <c r="L47" s="36">
        <v>5594.4</v>
      </c>
      <c r="M47" s="36">
        <v>111.88799999999999</v>
      </c>
      <c r="N47" s="36">
        <v>5482.5119999999997</v>
      </c>
    </row>
    <row r="48" spans="1:14" x14ac:dyDescent="0.25">
      <c r="A48" s="29" t="s">
        <v>18</v>
      </c>
      <c r="B48" s="29" t="s">
        <v>56</v>
      </c>
      <c r="C48" s="29" t="s">
        <v>168</v>
      </c>
      <c r="D48" s="29" t="s">
        <v>169</v>
      </c>
      <c r="E48" s="29" t="s">
        <v>15</v>
      </c>
      <c r="F48" s="29" t="s">
        <v>13</v>
      </c>
      <c r="G48" s="29" t="s">
        <v>58</v>
      </c>
      <c r="H48" s="29" t="s">
        <v>48</v>
      </c>
      <c r="I48" s="36">
        <v>14040</v>
      </c>
      <c r="J48" s="36">
        <v>2106</v>
      </c>
      <c r="K48" s="29" t="s">
        <v>62</v>
      </c>
      <c r="L48" s="36">
        <v>1516.32</v>
      </c>
      <c r="M48" s="36">
        <v>30.3264</v>
      </c>
      <c r="N48" s="36">
        <v>1485.9936</v>
      </c>
    </row>
    <row r="49" spans="1:14" x14ac:dyDescent="0.25">
      <c r="A49" s="29" t="s">
        <v>18</v>
      </c>
      <c r="B49" s="29" t="s">
        <v>56</v>
      </c>
      <c r="C49" s="29" t="s">
        <v>170</v>
      </c>
      <c r="D49" s="29" t="s">
        <v>165</v>
      </c>
      <c r="E49" s="29" t="s">
        <v>15</v>
      </c>
      <c r="F49" s="29" t="s">
        <v>13</v>
      </c>
      <c r="G49" s="29" t="s">
        <v>58</v>
      </c>
      <c r="H49" s="29" t="s">
        <v>48</v>
      </c>
      <c r="I49" s="36">
        <v>34249</v>
      </c>
      <c r="J49" s="36">
        <v>5137</v>
      </c>
      <c r="K49" s="29" t="s">
        <v>62</v>
      </c>
      <c r="L49" s="36">
        <v>3698.64</v>
      </c>
      <c r="M49" s="36">
        <v>73.972799999999992</v>
      </c>
      <c r="N49" s="36">
        <v>3624.6671999999999</v>
      </c>
    </row>
    <row r="50" spans="1:14" x14ac:dyDescent="0.25">
      <c r="A50" s="29" t="s">
        <v>18</v>
      </c>
      <c r="B50" s="29" t="s">
        <v>56</v>
      </c>
      <c r="C50" s="29" t="s">
        <v>171</v>
      </c>
      <c r="D50" s="29" t="s">
        <v>172</v>
      </c>
      <c r="E50" s="29" t="s">
        <v>15</v>
      </c>
      <c r="F50" s="29" t="s">
        <v>12</v>
      </c>
      <c r="G50" s="29" t="s">
        <v>58</v>
      </c>
      <c r="H50" s="29" t="s">
        <v>48</v>
      </c>
      <c r="I50" s="36">
        <v>144829</v>
      </c>
      <c r="J50" s="36">
        <v>21725</v>
      </c>
      <c r="K50" s="29" t="s">
        <v>62</v>
      </c>
      <c r="L50" s="36">
        <v>15642</v>
      </c>
      <c r="M50" s="36">
        <v>312.84000000000003</v>
      </c>
      <c r="N50" s="36">
        <v>15329.16</v>
      </c>
    </row>
    <row r="51" spans="1:14" x14ac:dyDescent="0.25">
      <c r="A51" s="29" t="s">
        <v>18</v>
      </c>
      <c r="B51" s="29" t="s">
        <v>56</v>
      </c>
      <c r="C51" s="29" t="s">
        <v>173</v>
      </c>
      <c r="D51" s="29" t="s">
        <v>69</v>
      </c>
      <c r="E51" s="29" t="s">
        <v>15</v>
      </c>
      <c r="F51" s="29" t="s">
        <v>12</v>
      </c>
      <c r="G51" s="29" t="s">
        <v>58</v>
      </c>
      <c r="H51" s="29" t="s">
        <v>48</v>
      </c>
      <c r="I51" s="36">
        <v>57026</v>
      </c>
      <c r="J51" s="36">
        <v>11975</v>
      </c>
      <c r="K51" s="29" t="s">
        <v>62</v>
      </c>
      <c r="L51" s="36">
        <v>8622</v>
      </c>
      <c r="M51" s="36">
        <v>172.44</v>
      </c>
      <c r="N51" s="36">
        <v>8449.56</v>
      </c>
    </row>
    <row r="52" spans="1:14" x14ac:dyDescent="0.25">
      <c r="A52" s="29" t="s">
        <v>18</v>
      </c>
      <c r="B52" s="29" t="s">
        <v>56</v>
      </c>
      <c r="C52" s="29" t="s">
        <v>174</v>
      </c>
      <c r="D52" s="29" t="s">
        <v>69</v>
      </c>
      <c r="E52" s="29" t="s">
        <v>15</v>
      </c>
      <c r="F52" s="29" t="s">
        <v>12</v>
      </c>
      <c r="G52" s="29" t="s">
        <v>58</v>
      </c>
      <c r="H52" s="29" t="s">
        <v>48</v>
      </c>
      <c r="I52" s="36">
        <v>57026</v>
      </c>
      <c r="J52" s="36">
        <v>11975</v>
      </c>
      <c r="K52" s="29" t="s">
        <v>62</v>
      </c>
      <c r="L52" s="36">
        <v>8622</v>
      </c>
      <c r="M52" s="36">
        <v>172.44</v>
      </c>
      <c r="N52" s="36">
        <v>8449.56</v>
      </c>
    </row>
    <row r="53" spans="1:14" x14ac:dyDescent="0.25">
      <c r="A53" s="29" t="s">
        <v>18</v>
      </c>
      <c r="B53" s="29" t="s">
        <v>56</v>
      </c>
      <c r="C53" s="29" t="s">
        <v>175</v>
      </c>
      <c r="D53" s="29" t="s">
        <v>176</v>
      </c>
      <c r="E53" s="29" t="s">
        <v>15</v>
      </c>
      <c r="F53" s="29" t="s">
        <v>13</v>
      </c>
      <c r="G53" s="29" t="s">
        <v>58</v>
      </c>
      <c r="H53" s="29" t="s">
        <v>48</v>
      </c>
      <c r="I53" s="36">
        <v>26291</v>
      </c>
      <c r="J53" s="36">
        <v>5521</v>
      </c>
      <c r="K53" s="29" t="s">
        <v>62</v>
      </c>
      <c r="L53" s="36">
        <v>3975.12</v>
      </c>
      <c r="M53" s="36">
        <v>79.502399999999994</v>
      </c>
      <c r="N53" s="36">
        <v>3895.6176</v>
      </c>
    </row>
    <row r="54" spans="1:14" x14ac:dyDescent="0.25">
      <c r="A54" s="29" t="s">
        <v>18</v>
      </c>
      <c r="B54" s="29" t="s">
        <v>56</v>
      </c>
      <c r="C54" s="29" t="s">
        <v>175</v>
      </c>
      <c r="D54" s="29" t="s">
        <v>176</v>
      </c>
      <c r="E54" s="29" t="s">
        <v>15</v>
      </c>
      <c r="F54" s="29" t="s">
        <v>13</v>
      </c>
      <c r="G54" s="29" t="s">
        <v>58</v>
      </c>
      <c r="H54" s="29" t="s">
        <v>48</v>
      </c>
      <c r="I54" s="36">
        <v>47628</v>
      </c>
      <c r="J54" s="36">
        <v>10002</v>
      </c>
      <c r="K54" s="29" t="s">
        <v>62</v>
      </c>
      <c r="L54" s="36">
        <v>7201.44</v>
      </c>
      <c r="M54" s="36">
        <v>144.02879999999999</v>
      </c>
      <c r="N54" s="36">
        <v>7057.4111999999996</v>
      </c>
    </row>
    <row r="55" spans="1:14" x14ac:dyDescent="0.25">
      <c r="A55" s="29" t="s">
        <v>18</v>
      </c>
      <c r="B55" s="29" t="s">
        <v>56</v>
      </c>
      <c r="C55" s="29" t="s">
        <v>177</v>
      </c>
      <c r="D55" s="29" t="s">
        <v>178</v>
      </c>
      <c r="E55" s="29" t="s">
        <v>15</v>
      </c>
      <c r="F55" s="29" t="s">
        <v>13</v>
      </c>
      <c r="G55" s="29" t="s">
        <v>58</v>
      </c>
      <c r="H55" s="29" t="s">
        <v>48</v>
      </c>
      <c r="I55" s="36">
        <v>6165</v>
      </c>
      <c r="J55" s="36">
        <v>1294</v>
      </c>
      <c r="K55" s="29" t="s">
        <v>62</v>
      </c>
      <c r="L55" s="36">
        <v>931.68</v>
      </c>
      <c r="M55" s="36">
        <v>18.633599999999998</v>
      </c>
      <c r="N55" s="36">
        <v>913.04639999999995</v>
      </c>
    </row>
    <row r="56" spans="1:14" x14ac:dyDescent="0.25">
      <c r="A56" s="29" t="s">
        <v>18</v>
      </c>
      <c r="B56" s="29" t="s">
        <v>56</v>
      </c>
      <c r="C56" s="29" t="s">
        <v>177</v>
      </c>
      <c r="D56" s="29" t="s">
        <v>178</v>
      </c>
      <c r="E56" s="29" t="s">
        <v>15</v>
      </c>
      <c r="F56" s="29" t="s">
        <v>13</v>
      </c>
      <c r="G56" s="29" t="s">
        <v>58</v>
      </c>
      <c r="H56" s="29" t="s">
        <v>48</v>
      </c>
      <c r="I56" s="36">
        <v>14547</v>
      </c>
      <c r="J56" s="36">
        <v>3055</v>
      </c>
      <c r="K56" s="29" t="s">
        <v>62</v>
      </c>
      <c r="L56" s="36">
        <v>2199.6</v>
      </c>
      <c r="M56" s="36">
        <v>43.991999999999997</v>
      </c>
      <c r="N56" s="36">
        <v>2155.6079999999997</v>
      </c>
    </row>
    <row r="57" spans="1:14" x14ac:dyDescent="0.25">
      <c r="A57" s="29" t="s">
        <v>18</v>
      </c>
      <c r="B57" s="29" t="s">
        <v>56</v>
      </c>
      <c r="C57" s="29" t="s">
        <v>179</v>
      </c>
      <c r="D57" s="29" t="s">
        <v>180</v>
      </c>
      <c r="E57" s="29" t="s">
        <v>15</v>
      </c>
      <c r="F57" s="29" t="s">
        <v>12</v>
      </c>
      <c r="G57" s="29" t="s">
        <v>58</v>
      </c>
      <c r="H57" s="29" t="s">
        <v>48</v>
      </c>
      <c r="I57" s="36">
        <v>100775</v>
      </c>
      <c r="J57" s="36">
        <v>21163</v>
      </c>
      <c r="K57" s="29" t="s">
        <v>62</v>
      </c>
      <c r="L57" s="36">
        <v>15237.359999999999</v>
      </c>
      <c r="M57" s="36">
        <v>304.74719999999996</v>
      </c>
      <c r="N57" s="36">
        <v>14932.612799999999</v>
      </c>
    </row>
    <row r="58" spans="1:14" x14ac:dyDescent="0.25">
      <c r="A58" s="29" t="s">
        <v>18</v>
      </c>
      <c r="B58" s="29" t="s">
        <v>56</v>
      </c>
      <c r="C58" s="29" t="s">
        <v>111</v>
      </c>
      <c r="D58" s="29" t="s">
        <v>112</v>
      </c>
      <c r="E58" s="29" t="s">
        <v>15</v>
      </c>
      <c r="F58" s="29" t="s">
        <v>13</v>
      </c>
      <c r="G58" s="29" t="s">
        <v>58</v>
      </c>
      <c r="H58" s="29" t="s">
        <v>48</v>
      </c>
      <c r="I58" s="36">
        <v>-24029</v>
      </c>
      <c r="J58" s="36">
        <v>-3605</v>
      </c>
      <c r="K58" s="29" t="s">
        <v>62</v>
      </c>
      <c r="L58" s="36">
        <v>-2595.6</v>
      </c>
      <c r="M58" s="36">
        <v>-51.911999999999999</v>
      </c>
      <c r="N58" s="36">
        <v>-2543.6880000000001</v>
      </c>
    </row>
    <row r="59" spans="1:14" x14ac:dyDescent="0.25">
      <c r="A59" s="29" t="s">
        <v>18</v>
      </c>
      <c r="B59" s="29" t="s">
        <v>56</v>
      </c>
      <c r="C59" s="29" t="s">
        <v>117</v>
      </c>
      <c r="D59" s="29" t="s">
        <v>118</v>
      </c>
      <c r="E59" s="29" t="s">
        <v>15</v>
      </c>
      <c r="F59" s="29" t="s">
        <v>13</v>
      </c>
      <c r="G59" s="29" t="s">
        <v>58</v>
      </c>
      <c r="H59" s="29" t="s">
        <v>48</v>
      </c>
      <c r="I59" s="36">
        <v>-9123</v>
      </c>
      <c r="J59" s="36">
        <v>-1368</v>
      </c>
      <c r="K59" s="29" t="s">
        <v>62</v>
      </c>
      <c r="L59" s="36">
        <v>-984.95999999999992</v>
      </c>
      <c r="M59" s="36">
        <v>-19.699199999999998</v>
      </c>
      <c r="N59" s="36">
        <v>-965.2607999999999</v>
      </c>
    </row>
    <row r="60" spans="1:14" x14ac:dyDescent="0.25">
      <c r="A60" s="29" t="s">
        <v>18</v>
      </c>
      <c r="B60" s="29" t="s">
        <v>56</v>
      </c>
      <c r="C60" s="29" t="s">
        <v>181</v>
      </c>
      <c r="D60" s="29" t="s">
        <v>182</v>
      </c>
      <c r="E60" s="29" t="s">
        <v>15</v>
      </c>
      <c r="F60" s="29" t="s">
        <v>12</v>
      </c>
      <c r="G60" s="29" t="s">
        <v>183</v>
      </c>
      <c r="H60" s="29" t="s">
        <v>48</v>
      </c>
      <c r="I60" s="36">
        <v>1480</v>
      </c>
      <c r="J60" s="36">
        <v>296</v>
      </c>
      <c r="K60" s="29" t="s">
        <v>62</v>
      </c>
      <c r="L60" s="36">
        <v>213.12</v>
      </c>
      <c r="M60" s="36">
        <v>4.2624000000000004</v>
      </c>
      <c r="N60" s="36">
        <v>208.85759999999999</v>
      </c>
    </row>
    <row r="61" spans="1:14" x14ac:dyDescent="0.25">
      <c r="A61" s="29" t="s">
        <v>18</v>
      </c>
      <c r="B61" s="29" t="s">
        <v>56</v>
      </c>
      <c r="C61" s="29" t="s">
        <v>184</v>
      </c>
      <c r="D61" s="29" t="s">
        <v>185</v>
      </c>
      <c r="E61" s="29" t="s">
        <v>15</v>
      </c>
      <c r="F61" s="29" t="s">
        <v>12</v>
      </c>
      <c r="G61" s="29" t="s">
        <v>183</v>
      </c>
      <c r="H61" s="29" t="s">
        <v>48</v>
      </c>
      <c r="I61" s="36">
        <v>1480</v>
      </c>
      <c r="J61" s="36">
        <v>296</v>
      </c>
      <c r="K61" s="29" t="s">
        <v>62</v>
      </c>
      <c r="L61" s="36">
        <v>213.12</v>
      </c>
      <c r="M61" s="36">
        <v>4.2624000000000004</v>
      </c>
      <c r="N61" s="36">
        <v>208.85759999999999</v>
      </c>
    </row>
    <row r="62" spans="1:14" x14ac:dyDescent="0.25">
      <c r="A62" s="29" t="s">
        <v>18</v>
      </c>
      <c r="B62" s="29" t="s">
        <v>56</v>
      </c>
      <c r="C62" s="29" t="s">
        <v>186</v>
      </c>
      <c r="D62" s="29" t="s">
        <v>187</v>
      </c>
      <c r="E62" s="29" t="s">
        <v>15</v>
      </c>
      <c r="F62" s="29" t="s">
        <v>12</v>
      </c>
      <c r="G62" s="29" t="s">
        <v>183</v>
      </c>
      <c r="H62" s="29" t="s">
        <v>48</v>
      </c>
      <c r="I62" s="36">
        <v>1480</v>
      </c>
      <c r="J62" s="36">
        <v>296</v>
      </c>
      <c r="K62" s="29" t="s">
        <v>62</v>
      </c>
      <c r="L62" s="36">
        <v>213.12</v>
      </c>
      <c r="M62" s="36">
        <v>4.2624000000000004</v>
      </c>
      <c r="N62" s="36">
        <v>208.85759999999999</v>
      </c>
    </row>
    <row r="63" spans="1:14" x14ac:dyDescent="0.25">
      <c r="A63" s="29" t="s">
        <v>18</v>
      </c>
      <c r="B63" s="29" t="s">
        <v>56</v>
      </c>
      <c r="C63" s="29" t="s">
        <v>188</v>
      </c>
      <c r="D63" s="29" t="s">
        <v>189</v>
      </c>
      <c r="E63" s="29" t="s">
        <v>15</v>
      </c>
      <c r="F63" s="29" t="s">
        <v>12</v>
      </c>
      <c r="G63" s="29" t="s">
        <v>183</v>
      </c>
      <c r="H63" s="29" t="s">
        <v>48</v>
      </c>
      <c r="I63" s="36">
        <v>1480</v>
      </c>
      <c r="J63" s="36">
        <v>296</v>
      </c>
      <c r="K63" s="29" t="s">
        <v>62</v>
      </c>
      <c r="L63" s="36">
        <v>213.12</v>
      </c>
      <c r="M63" s="36">
        <v>4.2624000000000004</v>
      </c>
      <c r="N63" s="36">
        <v>208.85759999999999</v>
      </c>
    </row>
    <row r="64" spans="1:14" x14ac:dyDescent="0.25">
      <c r="A64" s="29" t="s">
        <v>18</v>
      </c>
      <c r="B64" s="29" t="s">
        <v>56</v>
      </c>
      <c r="C64" s="29" t="s">
        <v>190</v>
      </c>
      <c r="D64" s="29" t="s">
        <v>182</v>
      </c>
      <c r="E64" s="29" t="s">
        <v>15</v>
      </c>
      <c r="F64" s="29" t="s">
        <v>12</v>
      </c>
      <c r="G64" s="29" t="s">
        <v>183</v>
      </c>
      <c r="H64" s="29" t="s">
        <v>48</v>
      </c>
      <c r="I64" s="36">
        <v>1480</v>
      </c>
      <c r="J64" s="36">
        <v>296</v>
      </c>
      <c r="K64" s="29" t="s">
        <v>62</v>
      </c>
      <c r="L64" s="36">
        <v>213.12</v>
      </c>
      <c r="M64" s="36">
        <v>4.2624000000000004</v>
      </c>
      <c r="N64" s="36">
        <v>208.85759999999999</v>
      </c>
    </row>
    <row r="65" spans="1:14" x14ac:dyDescent="0.25">
      <c r="A65" s="29" t="s">
        <v>18</v>
      </c>
      <c r="B65" s="29" t="s">
        <v>56</v>
      </c>
      <c r="C65" s="29" t="s">
        <v>191</v>
      </c>
      <c r="D65" s="29" t="s">
        <v>192</v>
      </c>
      <c r="E65" s="29" t="s">
        <v>15</v>
      </c>
      <c r="F65" s="29" t="s">
        <v>12</v>
      </c>
      <c r="G65" s="29" t="s">
        <v>183</v>
      </c>
      <c r="H65" s="29" t="s">
        <v>48</v>
      </c>
      <c r="I65" s="36">
        <v>1480</v>
      </c>
      <c r="J65" s="36">
        <v>296</v>
      </c>
      <c r="K65" s="29" t="s">
        <v>62</v>
      </c>
      <c r="L65" s="36">
        <v>213.12</v>
      </c>
      <c r="M65" s="36">
        <v>4.2624000000000004</v>
      </c>
      <c r="N65" s="36">
        <v>208.85759999999999</v>
      </c>
    </row>
    <row r="66" spans="1:14" x14ac:dyDescent="0.25">
      <c r="A66" s="29" t="s">
        <v>18</v>
      </c>
      <c r="B66" s="29" t="s">
        <v>56</v>
      </c>
      <c r="C66" s="29" t="s">
        <v>193</v>
      </c>
      <c r="D66" s="29" t="s">
        <v>194</v>
      </c>
      <c r="E66" s="29" t="s">
        <v>15</v>
      </c>
      <c r="F66" s="29" t="s">
        <v>12</v>
      </c>
      <c r="G66" s="29" t="s">
        <v>183</v>
      </c>
      <c r="H66" s="29" t="s">
        <v>48</v>
      </c>
      <c r="I66" s="36">
        <v>1480</v>
      </c>
      <c r="J66" s="36">
        <v>296</v>
      </c>
      <c r="K66" s="29" t="s">
        <v>62</v>
      </c>
      <c r="L66" s="36">
        <v>213.12</v>
      </c>
      <c r="M66" s="36">
        <v>4.2624000000000004</v>
      </c>
      <c r="N66" s="36">
        <v>208.85759999999999</v>
      </c>
    </row>
    <row r="67" spans="1:14" x14ac:dyDescent="0.25">
      <c r="A67" s="29" t="s">
        <v>18</v>
      </c>
      <c r="B67" s="29" t="s">
        <v>56</v>
      </c>
      <c r="C67" s="29" t="s">
        <v>195</v>
      </c>
      <c r="D67" s="29" t="s">
        <v>196</v>
      </c>
      <c r="E67" s="29" t="s">
        <v>15</v>
      </c>
      <c r="F67" s="29" t="s">
        <v>12</v>
      </c>
      <c r="G67" s="29" t="s">
        <v>183</v>
      </c>
      <c r="H67" s="29" t="s">
        <v>48</v>
      </c>
      <c r="I67" s="36">
        <v>1480</v>
      </c>
      <c r="J67" s="36">
        <v>296</v>
      </c>
      <c r="K67" s="29" t="s">
        <v>62</v>
      </c>
      <c r="L67" s="36">
        <v>213.12</v>
      </c>
      <c r="M67" s="36">
        <v>4.2624000000000004</v>
      </c>
      <c r="N67" s="36">
        <v>208.85759999999999</v>
      </c>
    </row>
    <row r="68" spans="1:14" x14ac:dyDescent="0.25">
      <c r="A68" s="29" t="s">
        <v>18</v>
      </c>
      <c r="B68" s="29" t="s">
        <v>56</v>
      </c>
      <c r="C68" s="29" t="s">
        <v>197</v>
      </c>
      <c r="D68" s="29" t="s">
        <v>198</v>
      </c>
      <c r="E68" s="29" t="s">
        <v>15</v>
      </c>
      <c r="F68" s="29" t="s">
        <v>12</v>
      </c>
      <c r="G68" s="29" t="s">
        <v>183</v>
      </c>
      <c r="H68" s="29" t="s">
        <v>48</v>
      </c>
      <c r="I68" s="36">
        <v>1480</v>
      </c>
      <c r="J68" s="36">
        <v>296</v>
      </c>
      <c r="K68" s="29" t="s">
        <v>62</v>
      </c>
      <c r="L68" s="36">
        <v>213.12</v>
      </c>
      <c r="M68" s="36">
        <v>4.2624000000000004</v>
      </c>
      <c r="N68" s="36">
        <v>208.85759999999999</v>
      </c>
    </row>
    <row r="69" spans="1:14" x14ac:dyDescent="0.25">
      <c r="A69" s="29" t="s">
        <v>18</v>
      </c>
      <c r="B69" s="29" t="s">
        <v>56</v>
      </c>
      <c r="C69" s="29" t="s">
        <v>199</v>
      </c>
      <c r="D69" s="29" t="s">
        <v>200</v>
      </c>
      <c r="E69" s="29" t="s">
        <v>15</v>
      </c>
      <c r="F69" s="29" t="s">
        <v>12</v>
      </c>
      <c r="G69" s="29" t="s">
        <v>183</v>
      </c>
      <c r="H69" s="29" t="s">
        <v>48</v>
      </c>
      <c r="I69" s="36">
        <v>1480</v>
      </c>
      <c r="J69" s="36">
        <v>296</v>
      </c>
      <c r="K69" s="29" t="s">
        <v>62</v>
      </c>
      <c r="L69" s="36">
        <v>213.12</v>
      </c>
      <c r="M69" s="36">
        <v>4.2624000000000004</v>
      </c>
      <c r="N69" s="36">
        <v>208.85759999999999</v>
      </c>
    </row>
    <row r="70" spans="1:14" x14ac:dyDescent="0.25">
      <c r="A70" s="29" t="s">
        <v>18</v>
      </c>
      <c r="B70" s="29" t="s">
        <v>56</v>
      </c>
      <c r="C70" s="29" t="s">
        <v>201</v>
      </c>
      <c r="D70" s="29" t="s">
        <v>202</v>
      </c>
      <c r="E70" s="29" t="s">
        <v>15</v>
      </c>
      <c r="F70" s="29" t="s">
        <v>12</v>
      </c>
      <c r="G70" s="29" t="s">
        <v>183</v>
      </c>
      <c r="H70" s="29" t="s">
        <v>48</v>
      </c>
      <c r="I70" s="36">
        <v>1480</v>
      </c>
      <c r="J70" s="36">
        <v>296</v>
      </c>
      <c r="K70" s="29" t="s">
        <v>62</v>
      </c>
      <c r="L70" s="36">
        <v>213.12</v>
      </c>
      <c r="M70" s="36">
        <v>4.2624000000000004</v>
      </c>
      <c r="N70" s="36">
        <v>208.85759999999999</v>
      </c>
    </row>
    <row r="71" spans="1:14" x14ac:dyDescent="0.25">
      <c r="A71" s="29" t="s">
        <v>18</v>
      </c>
      <c r="B71" s="29" t="s">
        <v>56</v>
      </c>
      <c r="C71" s="29" t="s">
        <v>203</v>
      </c>
      <c r="D71" s="29" t="s">
        <v>204</v>
      </c>
      <c r="E71" s="29" t="s">
        <v>15</v>
      </c>
      <c r="F71" s="29" t="s">
        <v>12</v>
      </c>
      <c r="G71" s="29" t="s">
        <v>183</v>
      </c>
      <c r="H71" s="29" t="s">
        <v>48</v>
      </c>
      <c r="I71" s="36">
        <v>1480</v>
      </c>
      <c r="J71" s="36">
        <v>296</v>
      </c>
      <c r="K71" s="29" t="s">
        <v>62</v>
      </c>
      <c r="L71" s="36">
        <v>213.12</v>
      </c>
      <c r="M71" s="36">
        <v>4.2624000000000004</v>
      </c>
      <c r="N71" s="36">
        <v>208.85759999999999</v>
      </c>
    </row>
    <row r="72" spans="1:14" x14ac:dyDescent="0.25">
      <c r="A72" s="29" t="s">
        <v>18</v>
      </c>
      <c r="B72" s="29" t="s">
        <v>56</v>
      </c>
      <c r="C72" s="29" t="s">
        <v>205</v>
      </c>
      <c r="D72" s="29" t="s">
        <v>206</v>
      </c>
      <c r="E72" s="29" t="s">
        <v>15</v>
      </c>
      <c r="F72" s="29" t="s">
        <v>12</v>
      </c>
      <c r="G72" s="29" t="s">
        <v>183</v>
      </c>
      <c r="H72" s="29" t="s">
        <v>48</v>
      </c>
      <c r="I72" s="36">
        <v>1480</v>
      </c>
      <c r="J72" s="36">
        <v>296</v>
      </c>
      <c r="K72" s="29" t="s">
        <v>62</v>
      </c>
      <c r="L72" s="36">
        <v>213.12</v>
      </c>
      <c r="M72" s="36">
        <v>4.2624000000000004</v>
      </c>
      <c r="N72" s="36">
        <v>208.85759999999999</v>
      </c>
    </row>
    <row r="73" spans="1:14" x14ac:dyDescent="0.25">
      <c r="A73" s="29" t="s">
        <v>18</v>
      </c>
      <c r="B73" s="29" t="s">
        <v>56</v>
      </c>
      <c r="C73" s="29" t="s">
        <v>207</v>
      </c>
      <c r="D73" s="29" t="s">
        <v>208</v>
      </c>
      <c r="E73" s="29" t="s">
        <v>15</v>
      </c>
      <c r="F73" s="29" t="s">
        <v>12</v>
      </c>
      <c r="G73" s="29" t="s">
        <v>183</v>
      </c>
      <c r="H73" s="29" t="s">
        <v>48</v>
      </c>
      <c r="I73" s="36">
        <v>1480</v>
      </c>
      <c r="J73" s="36">
        <v>296</v>
      </c>
      <c r="K73" s="29" t="s">
        <v>62</v>
      </c>
      <c r="L73" s="36">
        <v>213.12</v>
      </c>
      <c r="M73" s="36">
        <v>4.2624000000000004</v>
      </c>
      <c r="N73" s="36">
        <v>208.85759999999999</v>
      </c>
    </row>
    <row r="74" spans="1:14" x14ac:dyDescent="0.25">
      <c r="A74" s="29" t="s">
        <v>18</v>
      </c>
      <c r="B74" s="29" t="s">
        <v>56</v>
      </c>
      <c r="C74" s="29" t="s">
        <v>209</v>
      </c>
      <c r="D74" s="29" t="s">
        <v>210</v>
      </c>
      <c r="E74" s="29" t="s">
        <v>15</v>
      </c>
      <c r="F74" s="29" t="s">
        <v>12</v>
      </c>
      <c r="G74" s="29" t="s">
        <v>183</v>
      </c>
      <c r="H74" s="29" t="s">
        <v>48</v>
      </c>
      <c r="I74" s="36">
        <v>1480</v>
      </c>
      <c r="J74" s="36">
        <v>296</v>
      </c>
      <c r="K74" s="29" t="s">
        <v>62</v>
      </c>
      <c r="L74" s="36">
        <v>213.12</v>
      </c>
      <c r="M74" s="36">
        <v>4.2624000000000004</v>
      </c>
      <c r="N74" s="36">
        <v>208.85759999999999</v>
      </c>
    </row>
    <row r="75" spans="1:14" x14ac:dyDescent="0.25">
      <c r="A75" s="29" t="s">
        <v>18</v>
      </c>
      <c r="B75" s="29" t="s">
        <v>56</v>
      </c>
      <c r="C75" s="29" t="s">
        <v>211</v>
      </c>
      <c r="D75" s="29" t="s">
        <v>212</v>
      </c>
      <c r="E75" s="29" t="s">
        <v>15</v>
      </c>
      <c r="F75" s="29" t="s">
        <v>12</v>
      </c>
      <c r="G75" s="29" t="s">
        <v>183</v>
      </c>
      <c r="H75" s="29" t="s">
        <v>48</v>
      </c>
      <c r="I75" s="36">
        <v>1480</v>
      </c>
      <c r="J75" s="36">
        <v>296</v>
      </c>
      <c r="K75" s="29" t="s">
        <v>62</v>
      </c>
      <c r="L75" s="36">
        <v>213.12</v>
      </c>
      <c r="M75" s="36">
        <v>4.2624000000000004</v>
      </c>
      <c r="N75" s="36">
        <v>208.85759999999999</v>
      </c>
    </row>
    <row r="76" spans="1:14" x14ac:dyDescent="0.25">
      <c r="A76" s="29" t="s">
        <v>18</v>
      </c>
      <c r="B76" s="29" t="s">
        <v>56</v>
      </c>
      <c r="C76" s="29" t="s">
        <v>213</v>
      </c>
      <c r="D76" s="29" t="s">
        <v>214</v>
      </c>
      <c r="E76" s="29" t="s">
        <v>215</v>
      </c>
      <c r="F76" s="29" t="s">
        <v>12</v>
      </c>
      <c r="G76" s="29" t="s">
        <v>58</v>
      </c>
      <c r="H76" s="29" t="s">
        <v>48</v>
      </c>
      <c r="I76" s="36">
        <v>15848.09</v>
      </c>
      <c r="J76" s="36">
        <v>1837.28</v>
      </c>
      <c r="K76" s="29" t="s">
        <v>62</v>
      </c>
      <c r="L76" s="36">
        <v>1322.8416</v>
      </c>
      <c r="M76" s="36">
        <v>26.456831999999999</v>
      </c>
      <c r="N76" s="36">
        <v>1296.3847679999999</v>
      </c>
    </row>
    <row r="77" spans="1:14" x14ac:dyDescent="0.25">
      <c r="A77" s="29" t="s">
        <v>18</v>
      </c>
      <c r="B77" s="29" t="s">
        <v>56</v>
      </c>
      <c r="C77" s="29" t="s">
        <v>216</v>
      </c>
      <c r="D77" s="29" t="s">
        <v>217</v>
      </c>
      <c r="E77" s="29" t="s">
        <v>215</v>
      </c>
      <c r="F77" s="29" t="s">
        <v>12</v>
      </c>
      <c r="G77" s="29" t="s">
        <v>58</v>
      </c>
      <c r="H77" s="29" t="s">
        <v>48</v>
      </c>
      <c r="I77" s="36">
        <v>17503.080000000002</v>
      </c>
      <c r="J77" s="36">
        <v>2068.98</v>
      </c>
      <c r="K77" s="29" t="s">
        <v>62</v>
      </c>
      <c r="L77" s="36">
        <v>1489.6656</v>
      </c>
      <c r="M77" s="36">
        <v>29.793312</v>
      </c>
      <c r="N77" s="36">
        <v>1459.872288</v>
      </c>
    </row>
    <row r="78" spans="1:14" x14ac:dyDescent="0.25">
      <c r="A78" s="29" t="s">
        <v>18</v>
      </c>
      <c r="B78" s="29" t="s">
        <v>56</v>
      </c>
      <c r="C78" s="29" t="s">
        <v>218</v>
      </c>
      <c r="D78" s="29" t="s">
        <v>219</v>
      </c>
      <c r="E78" s="29" t="s">
        <v>215</v>
      </c>
      <c r="F78" s="29" t="s">
        <v>12</v>
      </c>
      <c r="G78" s="29" t="s">
        <v>58</v>
      </c>
      <c r="H78" s="29" t="s">
        <v>48</v>
      </c>
      <c r="I78" s="36">
        <v>245502.98</v>
      </c>
      <c r="J78" s="36">
        <v>30283.4</v>
      </c>
      <c r="K78" s="29" t="s">
        <v>62</v>
      </c>
      <c r="L78" s="36">
        <v>21804.047999999999</v>
      </c>
      <c r="M78" s="36">
        <v>436.08096</v>
      </c>
      <c r="N78" s="36">
        <v>21367.96704</v>
      </c>
    </row>
    <row r="79" spans="1:14" x14ac:dyDescent="0.25">
      <c r="A79" s="29" t="s">
        <v>18</v>
      </c>
      <c r="B79" s="29" t="s">
        <v>56</v>
      </c>
      <c r="C79" s="29" t="s">
        <v>220</v>
      </c>
      <c r="D79" s="29" t="s">
        <v>221</v>
      </c>
      <c r="E79" s="29" t="s">
        <v>63</v>
      </c>
      <c r="F79" s="29" t="s">
        <v>12</v>
      </c>
      <c r="G79" s="29" t="s">
        <v>58</v>
      </c>
      <c r="H79" s="29" t="s">
        <v>48</v>
      </c>
      <c r="I79" s="36">
        <v>155281.9</v>
      </c>
      <c r="J79" s="36">
        <v>21739.47</v>
      </c>
      <c r="K79" s="29" t="s">
        <v>62</v>
      </c>
      <c r="L79" s="36">
        <v>15652.4184</v>
      </c>
      <c r="M79" s="36">
        <v>313.04836800000004</v>
      </c>
      <c r="N79" s="36">
        <v>15339.370032000001</v>
      </c>
    </row>
    <row r="80" spans="1:14" x14ac:dyDescent="0.25">
      <c r="A80" s="29" t="s">
        <v>18</v>
      </c>
      <c r="B80" s="29" t="s">
        <v>56</v>
      </c>
      <c r="C80" s="29" t="s">
        <v>222</v>
      </c>
      <c r="D80" s="29" t="s">
        <v>223</v>
      </c>
      <c r="E80" s="29" t="s">
        <v>63</v>
      </c>
      <c r="F80" s="29" t="s">
        <v>12</v>
      </c>
      <c r="G80" s="29" t="s">
        <v>58</v>
      </c>
      <c r="H80" s="29" t="s">
        <v>48</v>
      </c>
      <c r="I80" s="36">
        <v>137084.39000000001</v>
      </c>
      <c r="J80" s="36">
        <v>19191.810000000001</v>
      </c>
      <c r="K80" s="29" t="s">
        <v>62</v>
      </c>
      <c r="L80" s="36">
        <v>13818.1032</v>
      </c>
      <c r="M80" s="36">
        <v>276.36206399999998</v>
      </c>
      <c r="N80" s="36">
        <v>13541.741135999999</v>
      </c>
    </row>
    <row r="81" spans="1:14" x14ac:dyDescent="0.25">
      <c r="A81" s="29" t="s">
        <v>18</v>
      </c>
      <c r="B81" s="29" t="s">
        <v>56</v>
      </c>
      <c r="C81" s="29" t="s">
        <v>224</v>
      </c>
      <c r="D81" s="29" t="s">
        <v>225</v>
      </c>
      <c r="E81" s="29" t="s">
        <v>63</v>
      </c>
      <c r="F81" s="29" t="s">
        <v>13</v>
      </c>
      <c r="G81" s="29" t="s">
        <v>58</v>
      </c>
      <c r="H81" s="29" t="s">
        <v>48</v>
      </c>
      <c r="I81" s="36">
        <v>116138.8</v>
      </c>
      <c r="J81" s="36">
        <v>16259.44</v>
      </c>
      <c r="K81" s="29" t="s">
        <v>62</v>
      </c>
      <c r="L81" s="36">
        <v>11706.7968</v>
      </c>
      <c r="M81" s="36">
        <v>234.13593600000002</v>
      </c>
      <c r="N81" s="36">
        <v>11472.660863999999</v>
      </c>
    </row>
    <row r="82" spans="1:14" x14ac:dyDescent="0.25">
      <c r="A82" s="29" t="s">
        <v>18</v>
      </c>
      <c r="B82" s="29" t="s">
        <v>56</v>
      </c>
      <c r="C82" s="29" t="s">
        <v>226</v>
      </c>
      <c r="D82" s="29" t="s">
        <v>227</v>
      </c>
      <c r="E82" s="29" t="s">
        <v>63</v>
      </c>
      <c r="F82" s="29" t="s">
        <v>12</v>
      </c>
      <c r="G82" s="29" t="s">
        <v>58</v>
      </c>
      <c r="H82" s="29" t="s">
        <v>48</v>
      </c>
      <c r="I82" s="36">
        <v>57192.65</v>
      </c>
      <c r="J82" s="36">
        <v>8006.97</v>
      </c>
      <c r="K82" s="29" t="s">
        <v>62</v>
      </c>
      <c r="L82" s="36">
        <v>5765.0183999999999</v>
      </c>
      <c r="M82" s="36">
        <v>115.30036800000001</v>
      </c>
      <c r="N82" s="36">
        <v>5649.7180319999998</v>
      </c>
    </row>
    <row r="83" spans="1:14" x14ac:dyDescent="0.25">
      <c r="A83" s="29" t="s">
        <v>18</v>
      </c>
      <c r="B83" s="29" t="s">
        <v>56</v>
      </c>
      <c r="C83" s="29" t="s">
        <v>228</v>
      </c>
      <c r="D83" s="29" t="s">
        <v>161</v>
      </c>
      <c r="E83" s="29" t="s">
        <v>63</v>
      </c>
      <c r="F83" s="29" t="s">
        <v>12</v>
      </c>
      <c r="G83" s="29" t="s">
        <v>58</v>
      </c>
      <c r="H83" s="29" t="s">
        <v>48</v>
      </c>
      <c r="I83" s="36">
        <v>15040.72</v>
      </c>
      <c r="J83" s="36">
        <v>2105.6999999999998</v>
      </c>
      <c r="K83" s="29" t="s">
        <v>62</v>
      </c>
      <c r="L83" s="36">
        <v>1516.1039999999998</v>
      </c>
      <c r="M83" s="36">
        <v>30.322079999999996</v>
      </c>
      <c r="N83" s="36">
        <v>1485.7819199999999</v>
      </c>
    </row>
    <row r="84" spans="1:14" x14ac:dyDescent="0.25">
      <c r="A84" s="29" t="s">
        <v>18</v>
      </c>
      <c r="B84" s="29" t="s">
        <v>56</v>
      </c>
      <c r="C84" s="29" t="s">
        <v>229</v>
      </c>
      <c r="D84" s="29" t="s">
        <v>230</v>
      </c>
      <c r="E84" s="29" t="s">
        <v>63</v>
      </c>
      <c r="F84" s="29" t="s">
        <v>12</v>
      </c>
      <c r="G84" s="29" t="s">
        <v>58</v>
      </c>
      <c r="H84" s="29" t="s">
        <v>48</v>
      </c>
      <c r="I84" s="36">
        <v>18296.25</v>
      </c>
      <c r="J84" s="36">
        <v>2561.48</v>
      </c>
      <c r="K84" s="29" t="s">
        <v>62</v>
      </c>
      <c r="L84" s="36">
        <v>1844.2655999999999</v>
      </c>
      <c r="M84" s="36">
        <v>36.885311999999999</v>
      </c>
      <c r="N84" s="36">
        <v>1807.3802879999998</v>
      </c>
    </row>
    <row r="85" spans="1:14" x14ac:dyDescent="0.25">
      <c r="A85" s="29" t="s">
        <v>18</v>
      </c>
      <c r="B85" s="29" t="s">
        <v>56</v>
      </c>
      <c r="C85" s="29" t="s">
        <v>231</v>
      </c>
      <c r="D85" s="29" t="s">
        <v>232</v>
      </c>
      <c r="E85" s="29" t="s">
        <v>233</v>
      </c>
      <c r="F85" s="29" t="s">
        <v>12</v>
      </c>
      <c r="G85" s="29" t="s">
        <v>58</v>
      </c>
      <c r="H85" s="29" t="s">
        <v>48</v>
      </c>
      <c r="I85" s="36">
        <v>17030.16</v>
      </c>
      <c r="J85" s="36">
        <v>2554.52</v>
      </c>
      <c r="K85" s="29" t="s">
        <v>62</v>
      </c>
      <c r="L85" s="36">
        <v>1839.2544</v>
      </c>
      <c r="M85" s="36">
        <v>36.785088000000002</v>
      </c>
      <c r="N85" s="36">
        <v>1802.4693119999999</v>
      </c>
    </row>
    <row r="86" spans="1:14" x14ac:dyDescent="0.25">
      <c r="A86" s="29" t="s">
        <v>18</v>
      </c>
      <c r="B86" s="29" t="s">
        <v>56</v>
      </c>
      <c r="C86" s="29" t="s">
        <v>234</v>
      </c>
      <c r="D86" s="29" t="s">
        <v>235</v>
      </c>
      <c r="E86" s="29" t="s">
        <v>233</v>
      </c>
      <c r="F86" s="29" t="s">
        <v>64</v>
      </c>
      <c r="G86" s="29" t="s">
        <v>58</v>
      </c>
      <c r="H86" s="29" t="s">
        <v>48</v>
      </c>
      <c r="I86" s="36">
        <v>27607.32</v>
      </c>
      <c r="J86" s="36">
        <v>4141.1000000000004</v>
      </c>
      <c r="K86" s="29" t="s">
        <v>62</v>
      </c>
      <c r="L86" s="36">
        <v>2981.5920000000001</v>
      </c>
      <c r="M86" s="36">
        <v>59.631840000000004</v>
      </c>
      <c r="N86" s="36">
        <v>2921.9601600000001</v>
      </c>
    </row>
    <row r="87" spans="1:14" x14ac:dyDescent="0.25">
      <c r="A87" s="29" t="s">
        <v>18</v>
      </c>
      <c r="B87" s="29" t="s">
        <v>56</v>
      </c>
      <c r="C87" s="29" t="s">
        <v>236</v>
      </c>
      <c r="D87" s="29" t="s">
        <v>237</v>
      </c>
      <c r="E87" s="29" t="s">
        <v>233</v>
      </c>
      <c r="F87" s="29" t="s">
        <v>12</v>
      </c>
      <c r="G87" s="29" t="s">
        <v>58</v>
      </c>
      <c r="H87" s="29" t="s">
        <v>48</v>
      </c>
      <c r="I87" s="36">
        <v>32652.61</v>
      </c>
      <c r="J87" s="36">
        <v>4897.8900000000003</v>
      </c>
      <c r="K87" s="29" t="s">
        <v>62</v>
      </c>
      <c r="L87" s="36">
        <v>3526.4808000000003</v>
      </c>
      <c r="M87" s="36">
        <v>70.529616000000004</v>
      </c>
      <c r="N87" s="36">
        <v>3455.9511840000005</v>
      </c>
    </row>
    <row r="88" spans="1:14" x14ac:dyDescent="0.25">
      <c r="A88" s="29" t="s">
        <v>18</v>
      </c>
      <c r="B88" s="29" t="s">
        <v>56</v>
      </c>
      <c r="C88" s="29" t="s">
        <v>78</v>
      </c>
      <c r="D88" s="29" t="s">
        <v>79</v>
      </c>
      <c r="E88" s="29" t="s">
        <v>57</v>
      </c>
      <c r="F88" s="29" t="s">
        <v>12</v>
      </c>
      <c r="G88" s="29" t="s">
        <v>58</v>
      </c>
      <c r="H88" s="29" t="s">
        <v>48</v>
      </c>
      <c r="I88" s="36">
        <v>-135407.99</v>
      </c>
      <c r="J88" s="36">
        <v>-18957.12</v>
      </c>
      <c r="K88" s="29" t="s">
        <v>62</v>
      </c>
      <c r="L88" s="36">
        <v>-13649.126399999999</v>
      </c>
      <c r="M88" s="36">
        <v>-272.982528</v>
      </c>
      <c r="N88" s="36">
        <v>-13376.143871999999</v>
      </c>
    </row>
    <row r="89" spans="1:14" x14ac:dyDescent="0.25">
      <c r="A89" s="29" t="s">
        <v>18</v>
      </c>
      <c r="B89" s="29" t="s">
        <v>56</v>
      </c>
      <c r="C89" s="29" t="s">
        <v>238</v>
      </c>
      <c r="D89" s="29" t="s">
        <v>239</v>
      </c>
      <c r="E89" s="29" t="s">
        <v>57</v>
      </c>
      <c r="F89" s="29" t="s">
        <v>12</v>
      </c>
      <c r="G89" s="29" t="s">
        <v>59</v>
      </c>
      <c r="H89" s="29" t="s">
        <v>48</v>
      </c>
      <c r="I89" s="36">
        <v>45601</v>
      </c>
      <c r="J89" s="36">
        <v>4560.1000000000004</v>
      </c>
      <c r="K89" s="29" t="s">
        <v>62</v>
      </c>
      <c r="L89" s="36">
        <v>3283.2719999999999</v>
      </c>
      <c r="M89" s="36">
        <v>65.665440000000004</v>
      </c>
      <c r="N89" s="36">
        <v>3217.6065599999997</v>
      </c>
    </row>
    <row r="90" spans="1:14" x14ac:dyDescent="0.25">
      <c r="A90" s="29" t="s">
        <v>18</v>
      </c>
      <c r="B90" s="29" t="s">
        <v>56</v>
      </c>
      <c r="C90" s="29" t="s">
        <v>240</v>
      </c>
      <c r="D90" s="29" t="s">
        <v>241</v>
      </c>
      <c r="E90" s="29" t="s">
        <v>57</v>
      </c>
      <c r="F90" s="29" t="s">
        <v>64</v>
      </c>
      <c r="G90" s="29" t="s">
        <v>58</v>
      </c>
      <c r="H90" s="29" t="s">
        <v>48</v>
      </c>
      <c r="I90" s="36">
        <v>26361.93</v>
      </c>
      <c r="J90" s="36">
        <v>3690.66</v>
      </c>
      <c r="K90" s="29" t="s">
        <v>62</v>
      </c>
      <c r="L90" s="36">
        <v>2657.2751999999996</v>
      </c>
      <c r="M90" s="36">
        <v>53.145503999999995</v>
      </c>
      <c r="N90" s="36">
        <v>2604.1296959999995</v>
      </c>
    </row>
    <row r="91" spans="1:14" x14ac:dyDescent="0.25">
      <c r="A91" s="29" t="s">
        <v>18</v>
      </c>
      <c r="B91" s="29" t="s">
        <v>56</v>
      </c>
      <c r="C91" s="29" t="s">
        <v>80</v>
      </c>
      <c r="D91" s="29" t="s">
        <v>81</v>
      </c>
      <c r="E91" s="29" t="s">
        <v>57</v>
      </c>
      <c r="F91" s="29" t="s">
        <v>12</v>
      </c>
      <c r="G91" s="29" t="s">
        <v>58</v>
      </c>
      <c r="H91" s="29" t="s">
        <v>48</v>
      </c>
      <c r="I91" s="36">
        <v>26361.55</v>
      </c>
      <c r="J91" s="36">
        <v>3690.62</v>
      </c>
      <c r="K91" s="29" t="s">
        <v>62</v>
      </c>
      <c r="L91" s="36">
        <v>2657.2464</v>
      </c>
      <c r="M91" s="36">
        <v>53.144928</v>
      </c>
      <c r="N91" s="36">
        <v>2604.1014719999998</v>
      </c>
    </row>
    <row r="92" spans="1:14" x14ac:dyDescent="0.25">
      <c r="A92" s="29" t="s">
        <v>18</v>
      </c>
      <c r="B92" s="29" t="s">
        <v>56</v>
      </c>
      <c r="C92" s="29" t="s">
        <v>82</v>
      </c>
      <c r="D92" s="29" t="s">
        <v>83</v>
      </c>
      <c r="E92" s="29" t="s">
        <v>57</v>
      </c>
      <c r="F92" s="29" t="s">
        <v>12</v>
      </c>
      <c r="G92" s="29" t="s">
        <v>58</v>
      </c>
      <c r="H92" s="29" t="s">
        <v>48</v>
      </c>
      <c r="I92" s="36">
        <v>-22805</v>
      </c>
      <c r="J92" s="36">
        <v>-3192.71</v>
      </c>
      <c r="K92" s="29" t="s">
        <v>62</v>
      </c>
      <c r="L92" s="36">
        <v>-2298.7512000000002</v>
      </c>
      <c r="M92" s="36">
        <v>-45.975024000000005</v>
      </c>
      <c r="N92" s="36">
        <v>-2252.7761760000003</v>
      </c>
    </row>
    <row r="93" spans="1:14" x14ac:dyDescent="0.25">
      <c r="A93" s="29" t="s">
        <v>18</v>
      </c>
      <c r="B93" s="29" t="s">
        <v>56</v>
      </c>
      <c r="C93" s="29" t="s">
        <v>82</v>
      </c>
      <c r="D93" s="29" t="s">
        <v>83</v>
      </c>
      <c r="E93" s="29" t="s">
        <v>57</v>
      </c>
      <c r="F93" s="29" t="s">
        <v>12</v>
      </c>
      <c r="G93" s="29" t="s">
        <v>58</v>
      </c>
      <c r="H93" s="29" t="s">
        <v>48</v>
      </c>
      <c r="I93" s="36">
        <v>-22805</v>
      </c>
      <c r="J93" s="36">
        <v>-3192.71</v>
      </c>
      <c r="K93" s="29" t="s">
        <v>62</v>
      </c>
      <c r="L93" s="36">
        <v>-2298.7512000000002</v>
      </c>
      <c r="M93" s="36">
        <v>-45.975024000000005</v>
      </c>
      <c r="N93" s="36">
        <v>-2252.7761760000003</v>
      </c>
    </row>
    <row r="94" spans="1:14" x14ac:dyDescent="0.25">
      <c r="A94" s="29" t="s">
        <v>18</v>
      </c>
      <c r="B94" s="29" t="s">
        <v>56</v>
      </c>
      <c r="C94" s="29" t="s">
        <v>242</v>
      </c>
      <c r="D94" s="29" t="s">
        <v>243</v>
      </c>
      <c r="E94" s="29" t="s">
        <v>57</v>
      </c>
      <c r="F94" s="29" t="s">
        <v>12</v>
      </c>
      <c r="G94" s="29" t="s">
        <v>58</v>
      </c>
      <c r="H94" s="29" t="s">
        <v>48</v>
      </c>
      <c r="I94" s="36">
        <v>24456.21</v>
      </c>
      <c r="J94" s="36">
        <v>3423.88</v>
      </c>
      <c r="K94" s="29" t="s">
        <v>62</v>
      </c>
      <c r="L94" s="36">
        <v>2465.1936000000001</v>
      </c>
      <c r="M94" s="36">
        <v>49.303872000000005</v>
      </c>
      <c r="N94" s="36">
        <v>2415.8897280000001</v>
      </c>
    </row>
    <row r="95" spans="1:14" x14ac:dyDescent="0.25">
      <c r="A95" s="29" t="s">
        <v>18</v>
      </c>
      <c r="B95" s="29" t="s">
        <v>56</v>
      </c>
      <c r="C95" s="29" t="s">
        <v>244</v>
      </c>
      <c r="D95" s="29" t="s">
        <v>83</v>
      </c>
      <c r="E95" s="29" t="s">
        <v>57</v>
      </c>
      <c r="F95" s="29" t="s">
        <v>12</v>
      </c>
      <c r="G95" s="29" t="s">
        <v>58</v>
      </c>
      <c r="H95" s="29" t="s">
        <v>48</v>
      </c>
      <c r="I95" s="36">
        <v>22916.49</v>
      </c>
      <c r="J95" s="36">
        <v>3208.31</v>
      </c>
      <c r="K95" s="29" t="s">
        <v>62</v>
      </c>
      <c r="L95" s="36">
        <v>2309.9831999999997</v>
      </c>
      <c r="M95" s="36">
        <v>46.199663999999991</v>
      </c>
      <c r="N95" s="36">
        <v>2263.7835359999995</v>
      </c>
    </row>
    <row r="96" spans="1:14" x14ac:dyDescent="0.25">
      <c r="A96" s="29" t="s">
        <v>18</v>
      </c>
      <c r="B96" s="29" t="s">
        <v>56</v>
      </c>
      <c r="C96" s="29" t="s">
        <v>244</v>
      </c>
      <c r="D96" s="29" t="s">
        <v>83</v>
      </c>
      <c r="E96" s="29" t="s">
        <v>57</v>
      </c>
      <c r="F96" s="29" t="s">
        <v>12</v>
      </c>
      <c r="G96" s="29" t="s">
        <v>58</v>
      </c>
      <c r="H96" s="29" t="s">
        <v>48</v>
      </c>
      <c r="I96" s="36">
        <v>22916.49</v>
      </c>
      <c r="J96" s="36">
        <v>3208.31</v>
      </c>
      <c r="K96" s="29" t="s">
        <v>62</v>
      </c>
      <c r="L96" s="36">
        <v>2309.9831999999997</v>
      </c>
      <c r="M96" s="36">
        <v>46.199663999999991</v>
      </c>
      <c r="N96" s="36">
        <v>2263.7835359999995</v>
      </c>
    </row>
    <row r="97" spans="1:14" x14ac:dyDescent="0.25">
      <c r="A97" s="29" t="s">
        <v>18</v>
      </c>
      <c r="B97" s="29" t="s">
        <v>56</v>
      </c>
      <c r="C97" s="29" t="s">
        <v>244</v>
      </c>
      <c r="D97" s="29" t="s">
        <v>83</v>
      </c>
      <c r="E97" s="29" t="s">
        <v>57</v>
      </c>
      <c r="F97" s="29" t="s">
        <v>12</v>
      </c>
      <c r="G97" s="29" t="s">
        <v>58</v>
      </c>
      <c r="H97" s="29" t="s">
        <v>48</v>
      </c>
      <c r="I97" s="36">
        <v>22916.49</v>
      </c>
      <c r="J97" s="36">
        <v>3208.31</v>
      </c>
      <c r="K97" s="29" t="s">
        <v>62</v>
      </c>
      <c r="L97" s="36">
        <v>2309.9831999999997</v>
      </c>
      <c r="M97" s="36">
        <v>46.199663999999991</v>
      </c>
      <c r="N97" s="36">
        <v>2263.7835359999995</v>
      </c>
    </row>
    <row r="98" spans="1:14" x14ac:dyDescent="0.25">
      <c r="A98" s="29" t="s">
        <v>18</v>
      </c>
      <c r="B98" s="29" t="s">
        <v>56</v>
      </c>
      <c r="C98" s="29" t="s">
        <v>245</v>
      </c>
      <c r="D98" s="29" t="s">
        <v>246</v>
      </c>
      <c r="E98" s="29" t="s">
        <v>57</v>
      </c>
      <c r="F98" s="29" t="s">
        <v>13</v>
      </c>
      <c r="G98" s="29" t="s">
        <v>58</v>
      </c>
      <c r="H98" s="29" t="s">
        <v>48</v>
      </c>
      <c r="I98" s="36">
        <v>8248.52</v>
      </c>
      <c r="J98" s="36">
        <v>1237.28</v>
      </c>
      <c r="K98" s="29" t="s">
        <v>62</v>
      </c>
      <c r="L98" s="36">
        <v>890.84159999999997</v>
      </c>
      <c r="M98" s="36">
        <v>17.816832000000002</v>
      </c>
      <c r="N98" s="36">
        <v>873.02476799999999</v>
      </c>
    </row>
    <row r="99" spans="1:14" x14ac:dyDescent="0.25">
      <c r="A99" s="29" t="s">
        <v>18</v>
      </c>
      <c r="B99" s="29" t="s">
        <v>56</v>
      </c>
      <c r="C99" s="29" t="s">
        <v>247</v>
      </c>
      <c r="D99" s="29" t="s">
        <v>248</v>
      </c>
      <c r="E99" s="29" t="s">
        <v>45</v>
      </c>
      <c r="F99" s="29" t="s">
        <v>12</v>
      </c>
      <c r="G99" s="29" t="s">
        <v>58</v>
      </c>
      <c r="H99" s="29" t="s">
        <v>48</v>
      </c>
      <c r="I99" s="36">
        <v>250492.83</v>
      </c>
      <c r="J99" s="36">
        <v>32564.07</v>
      </c>
      <c r="K99" s="29" t="s">
        <v>62</v>
      </c>
      <c r="L99" s="36">
        <v>23446.130399999998</v>
      </c>
      <c r="M99" s="36">
        <v>468.92260799999997</v>
      </c>
      <c r="N99" s="36">
        <v>22977.207791999997</v>
      </c>
    </row>
    <row r="100" spans="1:14" x14ac:dyDescent="0.25">
      <c r="A100" s="29" t="s">
        <v>18</v>
      </c>
      <c r="B100" s="29" t="s">
        <v>56</v>
      </c>
      <c r="C100" s="29" t="s">
        <v>249</v>
      </c>
      <c r="D100" s="29" t="s">
        <v>250</v>
      </c>
      <c r="E100" s="29" t="s">
        <v>45</v>
      </c>
      <c r="F100" s="29" t="s">
        <v>12</v>
      </c>
      <c r="G100" s="29" t="s">
        <v>58</v>
      </c>
      <c r="H100" s="29" t="s">
        <v>48</v>
      </c>
      <c r="I100" s="36">
        <v>88734.07</v>
      </c>
      <c r="J100" s="36">
        <v>11535.43</v>
      </c>
      <c r="K100" s="29" t="s">
        <v>62</v>
      </c>
      <c r="L100" s="36">
        <v>8305.5095999999994</v>
      </c>
      <c r="M100" s="36">
        <v>166.11019199999998</v>
      </c>
      <c r="N100" s="36">
        <v>8139.3994079999993</v>
      </c>
    </row>
    <row r="101" spans="1:14" x14ac:dyDescent="0.25">
      <c r="A101" s="29" t="s">
        <v>18</v>
      </c>
      <c r="B101" s="29" t="s">
        <v>56</v>
      </c>
      <c r="C101" s="29" t="s">
        <v>249</v>
      </c>
      <c r="D101" s="29" t="s">
        <v>61</v>
      </c>
      <c r="E101" s="29" t="s">
        <v>45</v>
      </c>
      <c r="F101" s="29" t="s">
        <v>12</v>
      </c>
      <c r="G101" s="29" t="s">
        <v>58</v>
      </c>
      <c r="H101" s="29" t="s">
        <v>48</v>
      </c>
      <c r="I101" s="36">
        <v>7098.73</v>
      </c>
      <c r="J101" s="36">
        <v>922.83</v>
      </c>
      <c r="K101" s="29" t="s">
        <v>62</v>
      </c>
      <c r="L101" s="36">
        <v>664.43759999999997</v>
      </c>
      <c r="M101" s="36">
        <v>13.288752000000001</v>
      </c>
      <c r="N101" s="36">
        <v>651.14884799999993</v>
      </c>
    </row>
    <row r="102" spans="1:14" x14ac:dyDescent="0.25">
      <c r="A102" s="29" t="s">
        <v>18</v>
      </c>
      <c r="B102" s="29" t="s">
        <v>56</v>
      </c>
      <c r="C102" s="29" t="s">
        <v>251</v>
      </c>
      <c r="D102" s="29" t="s">
        <v>252</v>
      </c>
      <c r="E102" s="29" t="s">
        <v>45</v>
      </c>
      <c r="F102" s="29" t="s">
        <v>12</v>
      </c>
      <c r="G102" s="29" t="s">
        <v>58</v>
      </c>
      <c r="H102" s="29" t="s">
        <v>48</v>
      </c>
      <c r="I102" s="36">
        <v>96749.06</v>
      </c>
      <c r="J102" s="36">
        <v>12577.38</v>
      </c>
      <c r="K102" s="29" t="s">
        <v>62</v>
      </c>
      <c r="L102" s="36">
        <v>9055.7135999999991</v>
      </c>
      <c r="M102" s="36">
        <v>181.114272</v>
      </c>
      <c r="N102" s="36">
        <v>8874.5993279999984</v>
      </c>
    </row>
    <row r="103" spans="1:14" x14ac:dyDescent="0.25">
      <c r="A103" s="29" t="s">
        <v>18</v>
      </c>
      <c r="B103" s="29" t="s">
        <v>56</v>
      </c>
      <c r="C103" s="29" t="s">
        <v>251</v>
      </c>
      <c r="D103" s="29" t="s">
        <v>61</v>
      </c>
      <c r="E103" s="29" t="s">
        <v>45</v>
      </c>
      <c r="F103" s="29" t="s">
        <v>12</v>
      </c>
      <c r="G103" s="29" t="s">
        <v>58</v>
      </c>
      <c r="H103" s="29" t="s">
        <v>48</v>
      </c>
      <c r="I103" s="36">
        <v>7739.93</v>
      </c>
      <c r="J103" s="36">
        <v>1006.19</v>
      </c>
      <c r="K103" s="29" t="s">
        <v>62</v>
      </c>
      <c r="L103" s="36">
        <v>724.45680000000004</v>
      </c>
      <c r="M103" s="36">
        <v>14.489136000000002</v>
      </c>
      <c r="N103" s="36">
        <v>709.96766400000001</v>
      </c>
    </row>
    <row r="104" spans="1:14" x14ac:dyDescent="0.25">
      <c r="A104" s="29" t="s">
        <v>18</v>
      </c>
      <c r="B104" s="29" t="s">
        <v>56</v>
      </c>
      <c r="C104" s="29" t="s">
        <v>84</v>
      </c>
      <c r="D104" s="29" t="s">
        <v>85</v>
      </c>
      <c r="E104" s="29" t="s">
        <v>45</v>
      </c>
      <c r="F104" s="29" t="s">
        <v>64</v>
      </c>
      <c r="G104" s="29" t="s">
        <v>58</v>
      </c>
      <c r="H104" s="29" t="s">
        <v>48</v>
      </c>
      <c r="I104" s="36">
        <v>15025.52</v>
      </c>
      <c r="J104" s="36">
        <v>1953.32</v>
      </c>
      <c r="K104" s="29" t="s">
        <v>62</v>
      </c>
      <c r="L104" s="36">
        <v>1406.3904</v>
      </c>
      <c r="M104" s="36">
        <v>28.127808000000002</v>
      </c>
      <c r="N104" s="36">
        <v>1378.262592</v>
      </c>
    </row>
    <row r="105" spans="1:14" x14ac:dyDescent="0.25">
      <c r="A105" s="29" t="s">
        <v>18</v>
      </c>
      <c r="B105" s="29" t="s">
        <v>56</v>
      </c>
      <c r="C105" s="29" t="s">
        <v>253</v>
      </c>
      <c r="D105" s="29" t="s">
        <v>254</v>
      </c>
      <c r="E105" s="29" t="s">
        <v>45</v>
      </c>
      <c r="F105" s="29" t="s">
        <v>13</v>
      </c>
      <c r="G105" s="29" t="s">
        <v>58</v>
      </c>
      <c r="H105" s="29" t="s">
        <v>48</v>
      </c>
      <c r="I105" s="36">
        <v>131181.51999999999</v>
      </c>
      <c r="J105" s="36">
        <v>17053.599999999999</v>
      </c>
      <c r="K105" s="29" t="s">
        <v>62</v>
      </c>
      <c r="L105" s="36">
        <v>12278.591999999999</v>
      </c>
      <c r="M105" s="36">
        <v>245.57183999999998</v>
      </c>
      <c r="N105" s="36">
        <v>12033.020159999998</v>
      </c>
    </row>
    <row r="106" spans="1:14" x14ac:dyDescent="0.25">
      <c r="A106" s="29" t="s">
        <v>18</v>
      </c>
      <c r="B106" s="29" t="s">
        <v>56</v>
      </c>
      <c r="C106" s="29" t="s">
        <v>253</v>
      </c>
      <c r="D106" s="29" t="s">
        <v>61</v>
      </c>
      <c r="E106" s="29" t="s">
        <v>45</v>
      </c>
      <c r="F106" s="29" t="s">
        <v>13</v>
      </c>
      <c r="G106" s="29" t="s">
        <v>58</v>
      </c>
      <c r="H106" s="29" t="s">
        <v>48</v>
      </c>
      <c r="I106" s="36">
        <v>6952.62</v>
      </c>
      <c r="J106" s="36">
        <v>903.84</v>
      </c>
      <c r="K106" s="29" t="s">
        <v>62</v>
      </c>
      <c r="L106" s="36">
        <v>650.76480000000004</v>
      </c>
      <c r="M106" s="36">
        <v>13.015296000000001</v>
      </c>
      <c r="N106" s="36">
        <v>637.749504</v>
      </c>
    </row>
    <row r="107" spans="1:14" x14ac:dyDescent="0.25">
      <c r="A107" s="29" t="s">
        <v>18</v>
      </c>
      <c r="B107" s="29" t="s">
        <v>56</v>
      </c>
      <c r="C107" s="29" t="s">
        <v>84</v>
      </c>
      <c r="D107" s="29" t="s">
        <v>61</v>
      </c>
      <c r="E107" s="29" t="s">
        <v>45</v>
      </c>
      <c r="F107" s="29" t="s">
        <v>64</v>
      </c>
      <c r="G107" s="29" t="s">
        <v>58</v>
      </c>
      <c r="H107" s="29" t="s">
        <v>48</v>
      </c>
      <c r="I107" s="36">
        <v>1487.53</v>
      </c>
      <c r="J107" s="36">
        <v>193.38</v>
      </c>
      <c r="K107" s="29" t="s">
        <v>62</v>
      </c>
      <c r="L107" s="36">
        <v>139.2336</v>
      </c>
      <c r="M107" s="36">
        <v>2.784672</v>
      </c>
      <c r="N107" s="36">
        <v>136.448928</v>
      </c>
    </row>
    <row r="108" spans="1:14" x14ac:dyDescent="0.25">
      <c r="A108" s="29" t="s">
        <v>18</v>
      </c>
      <c r="B108" s="29" t="s">
        <v>56</v>
      </c>
      <c r="C108" s="29" t="s">
        <v>255</v>
      </c>
      <c r="D108" s="29" t="s">
        <v>256</v>
      </c>
      <c r="E108" s="29" t="s">
        <v>45</v>
      </c>
      <c r="F108" s="29" t="s">
        <v>12</v>
      </c>
      <c r="G108" s="29" t="s">
        <v>58</v>
      </c>
      <c r="H108" s="29" t="s">
        <v>48</v>
      </c>
      <c r="I108" s="36">
        <v>206400.51</v>
      </c>
      <c r="J108" s="36">
        <v>26832.07</v>
      </c>
      <c r="K108" s="29" t="s">
        <v>62</v>
      </c>
      <c r="L108" s="36">
        <v>19319.090399999997</v>
      </c>
      <c r="M108" s="36">
        <v>386.38180799999998</v>
      </c>
      <c r="N108" s="36">
        <v>18932.708591999999</v>
      </c>
    </row>
    <row r="109" spans="1:14" x14ac:dyDescent="0.25">
      <c r="A109" s="29" t="s">
        <v>18</v>
      </c>
      <c r="B109" s="29" t="s">
        <v>56</v>
      </c>
      <c r="C109" s="29" t="s">
        <v>255</v>
      </c>
      <c r="D109" s="29" t="s">
        <v>61</v>
      </c>
      <c r="E109" s="29" t="s">
        <v>45</v>
      </c>
      <c r="F109" s="29" t="s">
        <v>12</v>
      </c>
      <c r="G109" s="29" t="s">
        <v>58</v>
      </c>
      <c r="H109" s="29" t="s">
        <v>48</v>
      </c>
      <c r="I109" s="36">
        <v>10939.22</v>
      </c>
      <c r="J109" s="36">
        <v>1422.1</v>
      </c>
      <c r="K109" s="29" t="s">
        <v>62</v>
      </c>
      <c r="L109" s="36">
        <v>1023.9119999999999</v>
      </c>
      <c r="M109" s="36">
        <v>20.47824</v>
      </c>
      <c r="N109" s="36">
        <v>1003.4337599999999</v>
      </c>
    </row>
    <row r="110" spans="1:14" x14ac:dyDescent="0.25">
      <c r="A110" s="29" t="s">
        <v>18</v>
      </c>
      <c r="B110" s="29" t="s">
        <v>56</v>
      </c>
      <c r="C110" s="29" t="s">
        <v>86</v>
      </c>
      <c r="D110" s="29" t="s">
        <v>87</v>
      </c>
      <c r="E110" s="29" t="s">
        <v>45</v>
      </c>
      <c r="F110" s="29" t="s">
        <v>12</v>
      </c>
      <c r="G110" s="29" t="s">
        <v>58</v>
      </c>
      <c r="H110" s="29" t="s">
        <v>48</v>
      </c>
      <c r="I110" s="36">
        <v>15795.85</v>
      </c>
      <c r="J110" s="36">
        <v>2053.46</v>
      </c>
      <c r="K110" s="29" t="s">
        <v>62</v>
      </c>
      <c r="L110" s="36">
        <v>1478.4911999999999</v>
      </c>
      <c r="M110" s="36">
        <v>29.569824000000001</v>
      </c>
      <c r="N110" s="36">
        <v>1448.921376</v>
      </c>
    </row>
    <row r="111" spans="1:14" x14ac:dyDescent="0.25">
      <c r="A111" s="29" t="s">
        <v>18</v>
      </c>
      <c r="B111" s="29" t="s">
        <v>56</v>
      </c>
      <c r="C111" s="29" t="s">
        <v>86</v>
      </c>
      <c r="D111" s="29" t="s">
        <v>61</v>
      </c>
      <c r="E111" s="29" t="s">
        <v>45</v>
      </c>
      <c r="F111" s="29" t="s">
        <v>12</v>
      </c>
      <c r="G111" s="29" t="s">
        <v>58</v>
      </c>
      <c r="H111" s="29" t="s">
        <v>48</v>
      </c>
      <c r="I111" s="36">
        <v>1563.79</v>
      </c>
      <c r="J111" s="36">
        <v>203.29</v>
      </c>
      <c r="K111" s="29" t="s">
        <v>62</v>
      </c>
      <c r="L111" s="36">
        <v>146.36879999999999</v>
      </c>
      <c r="M111" s="36">
        <v>2.9273759999999998</v>
      </c>
      <c r="N111" s="36">
        <v>143.44142399999998</v>
      </c>
    </row>
    <row r="112" spans="1:14" x14ac:dyDescent="0.25">
      <c r="J112" s="52" t="s">
        <v>4</v>
      </c>
      <c r="K112" s="52"/>
      <c r="L112" s="52">
        <f>SUM(L2:L111)</f>
        <v>1052134.8908000002</v>
      </c>
      <c r="M112" s="52"/>
      <c r="N112" s="52"/>
    </row>
    <row r="113" spans="1:15" x14ac:dyDescent="0.25">
      <c r="J113" s="52" t="s">
        <v>5</v>
      </c>
      <c r="K113" s="52"/>
      <c r="L113" s="52">
        <f>+L112*13%</f>
        <v>136777.53580400001</v>
      </c>
      <c r="M113" s="52"/>
      <c r="N113" s="52"/>
    </row>
    <row r="114" spans="1:15" x14ac:dyDescent="0.25">
      <c r="J114" s="53" t="s">
        <v>2</v>
      </c>
      <c r="K114" s="53"/>
      <c r="L114" s="53">
        <f>+L112+L113</f>
        <v>1188912.4266040002</v>
      </c>
      <c r="M114" s="53"/>
      <c r="N114" s="53"/>
    </row>
    <row r="115" spans="1:15" x14ac:dyDescent="0.25">
      <c r="J115" s="52" t="s">
        <v>6</v>
      </c>
      <c r="K115" s="52"/>
      <c r="L115" s="52">
        <f>+L112*2%</f>
        <v>21042.697816000004</v>
      </c>
      <c r="M115" s="52"/>
      <c r="N115" s="52"/>
    </row>
    <row r="116" spans="1:15" x14ac:dyDescent="0.25">
      <c r="J116" s="52" t="s">
        <v>1</v>
      </c>
      <c r="K116" s="52"/>
      <c r="L116" s="52">
        <f>+L114-L115</f>
        <v>1167869.7287880001</v>
      </c>
      <c r="M116" s="52"/>
      <c r="N116" s="52"/>
    </row>
    <row r="119" spans="1:15" x14ac:dyDescent="0.25">
      <c r="A119" s="30" t="s">
        <v>17</v>
      </c>
      <c r="B119" s="30" t="s">
        <v>51</v>
      </c>
      <c r="C119" s="30" t="s">
        <v>52</v>
      </c>
      <c r="D119" s="30" t="s">
        <v>53</v>
      </c>
      <c r="E119" s="30" t="s">
        <v>7</v>
      </c>
      <c r="F119" s="30" t="s">
        <v>43</v>
      </c>
      <c r="G119" s="30" t="s">
        <v>44</v>
      </c>
      <c r="H119" s="30" t="s">
        <v>8</v>
      </c>
      <c r="I119" s="31" t="s">
        <v>9</v>
      </c>
      <c r="J119" s="32" t="s">
        <v>54</v>
      </c>
      <c r="K119" s="31" t="s">
        <v>10</v>
      </c>
      <c r="L119" s="31" t="s">
        <v>60</v>
      </c>
      <c r="M119" s="31" t="s">
        <v>55</v>
      </c>
      <c r="N119" s="31" t="s">
        <v>11</v>
      </c>
      <c r="O119" s="30" t="s">
        <v>16</v>
      </c>
    </row>
    <row r="120" spans="1:15" x14ac:dyDescent="0.25">
      <c r="A120" s="29" t="s">
        <v>18</v>
      </c>
      <c r="B120" s="29" t="s">
        <v>56</v>
      </c>
      <c r="C120" s="29" t="s">
        <v>257</v>
      </c>
      <c r="D120" s="29" t="s">
        <v>258</v>
      </c>
      <c r="E120" s="29" t="s">
        <v>90</v>
      </c>
      <c r="F120" s="29" t="s">
        <v>13</v>
      </c>
      <c r="G120" s="29" t="s">
        <v>59</v>
      </c>
      <c r="H120" s="29" t="s">
        <v>49</v>
      </c>
      <c r="I120" s="36">
        <v>38.5</v>
      </c>
      <c r="J120" s="36">
        <v>2.7</v>
      </c>
      <c r="K120" s="29" t="s">
        <v>62</v>
      </c>
      <c r="L120" s="36">
        <v>1.944</v>
      </c>
      <c r="M120" s="36">
        <v>3.8879999999999998E-2</v>
      </c>
      <c r="N120" s="36">
        <v>1.9051199999999999</v>
      </c>
    </row>
    <row r="121" spans="1:15" x14ac:dyDescent="0.25">
      <c r="A121" s="29" t="s">
        <v>18</v>
      </c>
      <c r="B121" s="29" t="s">
        <v>56</v>
      </c>
      <c r="C121" s="29" t="s">
        <v>259</v>
      </c>
      <c r="D121" s="29" t="s">
        <v>260</v>
      </c>
      <c r="E121" s="29" t="s">
        <v>15</v>
      </c>
      <c r="F121" s="29" t="s">
        <v>47</v>
      </c>
      <c r="G121" s="29" t="s">
        <v>59</v>
      </c>
      <c r="H121" s="29" t="s">
        <v>49</v>
      </c>
      <c r="I121" s="36">
        <v>4071</v>
      </c>
      <c r="J121" s="36">
        <v>651.36</v>
      </c>
      <c r="K121" s="29" t="s">
        <v>62</v>
      </c>
      <c r="L121" s="36">
        <v>468.97919999999999</v>
      </c>
      <c r="M121" s="36">
        <v>9.3795839999999995</v>
      </c>
      <c r="N121" s="36">
        <v>459.59961599999997</v>
      </c>
    </row>
    <row r="122" spans="1:15" x14ac:dyDescent="0.25">
      <c r="A122" s="29" t="s">
        <v>18</v>
      </c>
      <c r="B122" s="29" t="s">
        <v>56</v>
      </c>
      <c r="C122" s="29" t="s">
        <v>261</v>
      </c>
      <c r="D122" s="29" t="s">
        <v>262</v>
      </c>
      <c r="E122" s="29" t="s">
        <v>15</v>
      </c>
      <c r="F122" s="29" t="s">
        <v>47</v>
      </c>
      <c r="G122" s="29" t="s">
        <v>58</v>
      </c>
      <c r="H122" s="29" t="s">
        <v>49</v>
      </c>
      <c r="I122" s="36">
        <v>16.52</v>
      </c>
      <c r="J122" s="36">
        <v>3.47</v>
      </c>
      <c r="K122" s="29" t="s">
        <v>62</v>
      </c>
      <c r="L122" s="36">
        <v>2.4984000000000002</v>
      </c>
      <c r="M122" s="36">
        <v>4.9968000000000005E-2</v>
      </c>
      <c r="N122" s="36">
        <v>2.4484320000000004</v>
      </c>
    </row>
    <row r="123" spans="1:15" x14ac:dyDescent="0.25">
      <c r="A123" s="29" t="s">
        <v>18</v>
      </c>
      <c r="B123" s="29" t="s">
        <v>56</v>
      </c>
      <c r="C123" s="29" t="s">
        <v>261</v>
      </c>
      <c r="D123" s="29" t="s">
        <v>262</v>
      </c>
      <c r="E123" s="29" t="s">
        <v>15</v>
      </c>
      <c r="F123" s="29" t="s">
        <v>47</v>
      </c>
      <c r="G123" s="29" t="s">
        <v>58</v>
      </c>
      <c r="H123" s="29" t="s">
        <v>49</v>
      </c>
      <c r="I123" s="36">
        <v>7.16</v>
      </c>
      <c r="J123" s="36">
        <v>1.5</v>
      </c>
      <c r="K123" s="29" t="s">
        <v>62</v>
      </c>
      <c r="L123" s="36">
        <v>1.08</v>
      </c>
      <c r="M123" s="36">
        <v>2.1600000000000001E-2</v>
      </c>
      <c r="N123" s="36">
        <v>1.0584</v>
      </c>
    </row>
    <row r="124" spans="1:15" x14ac:dyDescent="0.25">
      <c r="A124" s="29" t="s">
        <v>18</v>
      </c>
      <c r="B124" s="29" t="s">
        <v>56</v>
      </c>
      <c r="C124" s="29" t="s">
        <v>263</v>
      </c>
      <c r="D124" s="29" t="s">
        <v>264</v>
      </c>
      <c r="E124" s="29" t="s">
        <v>15</v>
      </c>
      <c r="F124" s="29" t="s">
        <v>47</v>
      </c>
      <c r="G124" s="29" t="s">
        <v>58</v>
      </c>
      <c r="H124" s="29" t="s">
        <v>49</v>
      </c>
      <c r="I124" s="36">
        <v>2641.64</v>
      </c>
      <c r="J124" s="36">
        <v>554.74</v>
      </c>
      <c r="K124" s="29" t="s">
        <v>62</v>
      </c>
      <c r="L124" s="36">
        <v>399.4128</v>
      </c>
      <c r="M124" s="36">
        <v>7.9882560000000007</v>
      </c>
      <c r="N124" s="36">
        <v>391.42454400000003</v>
      </c>
    </row>
    <row r="125" spans="1:15" x14ac:dyDescent="0.25">
      <c r="A125" s="29" t="s">
        <v>18</v>
      </c>
      <c r="B125" s="29" t="s">
        <v>56</v>
      </c>
      <c r="C125" s="29" t="s">
        <v>263</v>
      </c>
      <c r="D125" s="29" t="s">
        <v>264</v>
      </c>
      <c r="E125" s="29" t="s">
        <v>15</v>
      </c>
      <c r="F125" s="29" t="s">
        <v>47</v>
      </c>
      <c r="G125" s="29" t="s">
        <v>58</v>
      </c>
      <c r="H125" s="29" t="s">
        <v>49</v>
      </c>
      <c r="I125" s="36">
        <v>10395.57</v>
      </c>
      <c r="J125" s="36">
        <v>2183.06</v>
      </c>
      <c r="K125" s="29" t="s">
        <v>62</v>
      </c>
      <c r="L125" s="36">
        <v>1571.8031999999998</v>
      </c>
      <c r="M125" s="36">
        <v>31.436063999999998</v>
      </c>
      <c r="N125" s="36">
        <v>1540.3671359999998</v>
      </c>
    </row>
    <row r="126" spans="1:15" x14ac:dyDescent="0.25">
      <c r="A126" s="29" t="s">
        <v>18</v>
      </c>
      <c r="B126" s="29" t="s">
        <v>56</v>
      </c>
      <c r="C126" s="29" t="s">
        <v>263</v>
      </c>
      <c r="D126" s="29" t="s">
        <v>264</v>
      </c>
      <c r="E126" s="29" t="s">
        <v>15</v>
      </c>
      <c r="F126" s="29" t="s">
        <v>47</v>
      </c>
      <c r="G126" s="29" t="s">
        <v>58</v>
      </c>
      <c r="H126" s="29" t="s">
        <v>49</v>
      </c>
      <c r="I126" s="36">
        <v>0.14000000000000001</v>
      </c>
      <c r="J126" s="36">
        <v>0.03</v>
      </c>
      <c r="K126" s="29" t="s">
        <v>62</v>
      </c>
      <c r="L126" s="36">
        <v>2.1599999999999998E-2</v>
      </c>
      <c r="M126" s="36">
        <v>4.3199999999999998E-4</v>
      </c>
      <c r="N126" s="36">
        <v>2.1167999999999999E-2</v>
      </c>
    </row>
    <row r="127" spans="1:15" x14ac:dyDescent="0.25">
      <c r="A127" s="29" t="s">
        <v>18</v>
      </c>
      <c r="B127" s="29" t="s">
        <v>56</v>
      </c>
      <c r="C127" s="29" t="s">
        <v>265</v>
      </c>
      <c r="D127" s="29" t="s">
        <v>266</v>
      </c>
      <c r="E127" s="29" t="s">
        <v>15</v>
      </c>
      <c r="F127" s="29" t="s">
        <v>13</v>
      </c>
      <c r="G127" s="29" t="s">
        <v>58</v>
      </c>
      <c r="H127" s="29" t="s">
        <v>49</v>
      </c>
      <c r="I127" s="36">
        <v>899.37</v>
      </c>
      <c r="J127" s="36">
        <v>188.86</v>
      </c>
      <c r="K127" s="29" t="s">
        <v>62</v>
      </c>
      <c r="L127" s="36">
        <v>135.97919999999999</v>
      </c>
      <c r="M127" s="36">
        <v>2.7195839999999998</v>
      </c>
      <c r="N127" s="36">
        <v>133.25961599999999</v>
      </c>
    </row>
    <row r="128" spans="1:15" x14ac:dyDescent="0.25">
      <c r="A128" s="29" t="s">
        <v>18</v>
      </c>
      <c r="B128" s="29" t="s">
        <v>56</v>
      </c>
      <c r="C128" s="29" t="s">
        <v>263</v>
      </c>
      <c r="D128" s="29" t="s">
        <v>264</v>
      </c>
      <c r="E128" s="29" t="s">
        <v>15</v>
      </c>
      <c r="F128" s="29" t="s">
        <v>47</v>
      </c>
      <c r="G128" s="29" t="s">
        <v>58</v>
      </c>
      <c r="H128" s="29" t="s">
        <v>49</v>
      </c>
      <c r="I128" s="36">
        <v>-4552.63</v>
      </c>
      <c r="J128" s="36">
        <v>-956.04</v>
      </c>
      <c r="K128" s="29" t="s">
        <v>62</v>
      </c>
      <c r="L128" s="36">
        <v>-688.34879999999998</v>
      </c>
      <c r="M128" s="36">
        <v>-13.766976</v>
      </c>
      <c r="N128" s="36">
        <v>-674.58182399999998</v>
      </c>
    </row>
    <row r="129" spans="10:14" x14ac:dyDescent="0.25">
      <c r="J129" s="52" t="s">
        <v>4</v>
      </c>
      <c r="K129" s="52"/>
      <c r="L129" s="52">
        <f>SUM(L120:L128)</f>
        <v>1893.3695999999998</v>
      </c>
      <c r="M129" s="52"/>
      <c r="N129" s="52"/>
    </row>
    <row r="130" spans="10:14" x14ac:dyDescent="0.25">
      <c r="J130" s="52" t="s">
        <v>5</v>
      </c>
      <c r="K130" s="52"/>
      <c r="L130" s="52">
        <f>+L129*13%</f>
        <v>246.13804799999997</v>
      </c>
      <c r="M130" s="52"/>
      <c r="N130" s="52"/>
    </row>
    <row r="131" spans="10:14" x14ac:dyDescent="0.25">
      <c r="J131" s="53" t="s">
        <v>2</v>
      </c>
      <c r="K131" s="53"/>
      <c r="L131" s="53">
        <f>+L129+L130</f>
        <v>2139.5076479999998</v>
      </c>
      <c r="M131" s="53"/>
      <c r="N131" s="53"/>
    </row>
    <row r="132" spans="10:14" x14ac:dyDescent="0.25">
      <c r="J132" s="52" t="s">
        <v>6</v>
      </c>
      <c r="K132" s="52"/>
      <c r="L132" s="52">
        <f>+L129*2%</f>
        <v>37.867391999999995</v>
      </c>
      <c r="M132" s="52"/>
      <c r="N132" s="52"/>
    </row>
    <row r="133" spans="10:14" x14ac:dyDescent="0.25">
      <c r="J133" s="52" t="s">
        <v>1</v>
      </c>
      <c r="K133" s="52"/>
      <c r="L133" s="52">
        <f>+L131-L132</f>
        <v>2101.6402559999997</v>
      </c>
      <c r="M133" s="52"/>
      <c r="N133" s="52"/>
    </row>
  </sheetData>
  <mergeCells count="20">
    <mergeCell ref="J112:K112"/>
    <mergeCell ref="L112:N112"/>
    <mergeCell ref="J113:K113"/>
    <mergeCell ref="L113:N113"/>
    <mergeCell ref="J114:K114"/>
    <mergeCell ref="L114:N114"/>
    <mergeCell ref="J115:K115"/>
    <mergeCell ref="L115:N115"/>
    <mergeCell ref="J116:K116"/>
    <mergeCell ref="L116:N116"/>
    <mergeCell ref="J129:K129"/>
    <mergeCell ref="L129:N129"/>
    <mergeCell ref="J133:K133"/>
    <mergeCell ref="L133:N133"/>
    <mergeCell ref="J130:K130"/>
    <mergeCell ref="L130:N130"/>
    <mergeCell ref="J131:K131"/>
    <mergeCell ref="L131:N131"/>
    <mergeCell ref="J132:K132"/>
    <mergeCell ref="L132:N13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L21"/>
  <sheetViews>
    <sheetView tabSelected="1" workbookViewId="0">
      <selection activeCell="N12" sqref="N12"/>
    </sheetView>
  </sheetViews>
  <sheetFormatPr baseColWidth="10" defaultColWidth="11.42578125" defaultRowHeight="15" x14ac:dyDescent="0.25"/>
  <cols>
    <col min="5" max="5" width="25.85546875" bestFit="1" customWidth="1"/>
    <col min="6" max="6" width="17" customWidth="1"/>
    <col min="7" max="7" width="12.5703125" customWidth="1"/>
    <col min="8" max="8" width="15.85546875" bestFit="1" customWidth="1"/>
    <col min="11" max="11" width="20.140625" bestFit="1" customWidth="1"/>
    <col min="12" max="12" width="12.7109375" bestFit="1" customWidth="1"/>
  </cols>
  <sheetData>
    <row r="4" spans="2:12" ht="15" customHeight="1" x14ac:dyDescent="0.25">
      <c r="B4" s="43" t="s">
        <v>267</v>
      </c>
      <c r="C4" s="44"/>
      <c r="D4" s="44"/>
      <c r="E4" s="44"/>
      <c r="F4" s="45"/>
      <c r="H4" s="43" t="str">
        <f>+B4</f>
        <v xml:space="preserve">RESUMEN DE PAGOS - IQ Julio </v>
      </c>
      <c r="I4" s="44"/>
      <c r="J4" s="44"/>
      <c r="K4" s="44"/>
      <c r="L4" s="45"/>
    </row>
    <row r="5" spans="2:12" ht="15" customHeight="1" x14ac:dyDescent="0.25">
      <c r="B5" s="46"/>
      <c r="C5" s="47"/>
      <c r="D5" s="47"/>
      <c r="E5" s="47"/>
      <c r="F5" s="48"/>
      <c r="H5" s="46"/>
      <c r="I5" s="47"/>
      <c r="J5" s="47"/>
      <c r="K5" s="47"/>
      <c r="L5" s="48"/>
    </row>
    <row r="6" spans="2:12" x14ac:dyDescent="0.25">
      <c r="B6" s="49" t="s">
        <v>0</v>
      </c>
      <c r="C6" s="50"/>
      <c r="D6" s="51"/>
      <c r="E6" s="49" t="s">
        <v>3</v>
      </c>
      <c r="F6" s="51"/>
      <c r="H6" s="49" t="s">
        <v>0</v>
      </c>
      <c r="I6" s="50"/>
      <c r="J6" s="51"/>
      <c r="K6" s="49" t="s">
        <v>46</v>
      </c>
      <c r="L6" s="51"/>
    </row>
    <row r="7" spans="2:12" ht="15" customHeight="1" x14ac:dyDescent="0.25">
      <c r="B7" s="41" t="s">
        <v>14</v>
      </c>
      <c r="C7" s="41"/>
      <c r="D7" s="41"/>
      <c r="E7" s="1" t="s">
        <v>4</v>
      </c>
      <c r="F7" s="2">
        <f>Detalle!L112</f>
        <v>1052134.8908000002</v>
      </c>
      <c r="H7" s="41" t="s">
        <v>14</v>
      </c>
      <c r="I7" s="41"/>
      <c r="J7" s="41"/>
      <c r="K7" s="1" t="s">
        <v>4</v>
      </c>
      <c r="L7" s="2">
        <f>Detalle!L129</f>
        <v>1893.3695999999998</v>
      </c>
    </row>
    <row r="8" spans="2:12" ht="15" customHeight="1" x14ac:dyDescent="0.25">
      <c r="B8" s="42"/>
      <c r="C8" s="42"/>
      <c r="D8" s="42"/>
      <c r="E8" s="3" t="s">
        <v>40</v>
      </c>
      <c r="F8" s="4">
        <f>REBAJO!D3</f>
        <v>214336</v>
      </c>
      <c r="H8" s="42"/>
      <c r="I8" s="42"/>
      <c r="J8" s="42"/>
      <c r="K8" s="1" t="s">
        <v>5</v>
      </c>
      <c r="L8" s="2">
        <f>+L7*13%</f>
        <v>246.13804799999997</v>
      </c>
    </row>
    <row r="9" spans="2:12" ht="15" customHeight="1" x14ac:dyDescent="0.25">
      <c r="B9" s="42"/>
      <c r="C9" s="42"/>
      <c r="D9" s="42"/>
      <c r="E9" t="s">
        <v>41</v>
      </c>
      <c r="F9" s="2">
        <f>+F7-F8</f>
        <v>837798.89080000017</v>
      </c>
      <c r="H9" s="42"/>
      <c r="I9" s="42"/>
      <c r="J9" s="42"/>
      <c r="K9" s="3" t="s">
        <v>2</v>
      </c>
      <c r="L9" s="4">
        <f>+L7+L8</f>
        <v>2139.5076479999998</v>
      </c>
    </row>
    <row r="10" spans="2:12" ht="15" customHeight="1" x14ac:dyDescent="0.25">
      <c r="B10" s="42"/>
      <c r="C10" s="42"/>
      <c r="D10" s="42"/>
      <c r="E10" s="1" t="s">
        <v>5</v>
      </c>
      <c r="F10" s="2">
        <f>+F9*13%</f>
        <v>108913.85580400002</v>
      </c>
      <c r="H10" s="42"/>
      <c r="I10" s="42"/>
      <c r="J10" s="42"/>
      <c r="K10" s="1" t="s">
        <v>6</v>
      </c>
      <c r="L10" s="2">
        <f>+L7*2%</f>
        <v>37.867391999999995</v>
      </c>
    </row>
    <row r="11" spans="2:12" ht="15" customHeight="1" x14ac:dyDescent="0.25">
      <c r="B11" s="42"/>
      <c r="C11" s="42"/>
      <c r="D11" s="42"/>
      <c r="E11" s="3" t="s">
        <v>2</v>
      </c>
      <c r="F11" s="4">
        <f>+F9+F10</f>
        <v>946712.74660400022</v>
      </c>
      <c r="H11" s="42"/>
      <c r="I11" s="42"/>
      <c r="J11" s="42"/>
      <c r="K11" s="37" t="s">
        <v>268</v>
      </c>
      <c r="L11" s="4">
        <f>258.84</f>
        <v>258.83999999999997</v>
      </c>
    </row>
    <row r="12" spans="2:12" ht="15" customHeight="1" x14ac:dyDescent="0.25">
      <c r="B12" s="42"/>
      <c r="C12" s="42"/>
      <c r="D12" s="42"/>
      <c r="E12" s="3" t="s">
        <v>42</v>
      </c>
      <c r="F12" s="4">
        <f>100000</f>
        <v>100000</v>
      </c>
      <c r="H12" s="42"/>
      <c r="I12" s="42"/>
      <c r="J12" s="42"/>
      <c r="K12" s="24" t="s">
        <v>1</v>
      </c>
      <c r="L12" s="2">
        <f>+L9-L10-L11</f>
        <v>1842.8002559999998</v>
      </c>
    </row>
    <row r="13" spans="2:12" x14ac:dyDescent="0.25">
      <c r="B13" s="42"/>
      <c r="C13" s="42"/>
      <c r="D13" s="42"/>
      <c r="E13" s="1" t="s">
        <v>6</v>
      </c>
      <c r="F13" s="2">
        <f>+F9*2%</f>
        <v>16755.977816000002</v>
      </c>
    </row>
    <row r="14" spans="2:12" x14ac:dyDescent="0.25">
      <c r="B14" s="42"/>
      <c r="C14" s="42"/>
      <c r="D14" s="42"/>
      <c r="E14" s="24" t="s">
        <v>1</v>
      </c>
      <c r="F14" s="2">
        <f>+F11-F12-F13</f>
        <v>829956.76878800022</v>
      </c>
      <c r="L14" s="19"/>
    </row>
    <row r="15" spans="2:12" x14ac:dyDescent="0.25">
      <c r="F15" s="16"/>
      <c r="L15" s="19"/>
    </row>
    <row r="16" spans="2:12" x14ac:dyDescent="0.25">
      <c r="F16" s="19"/>
    </row>
    <row r="17" spans="6:8" x14ac:dyDescent="0.25">
      <c r="F17" s="19"/>
    </row>
    <row r="21" spans="6:8" x14ac:dyDescent="0.25">
      <c r="H21" t="s">
        <v>68</v>
      </c>
    </row>
  </sheetData>
  <mergeCells count="8">
    <mergeCell ref="B7:D14"/>
    <mergeCell ref="B4:F5"/>
    <mergeCell ref="B6:D6"/>
    <mergeCell ref="H4:L5"/>
    <mergeCell ref="H6:J6"/>
    <mergeCell ref="K6:L6"/>
    <mergeCell ref="E6:F6"/>
    <mergeCell ref="H7:J12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9"/>
  <sheetViews>
    <sheetView workbookViewId="0">
      <selection activeCell="E21" sqref="E21"/>
    </sheetView>
  </sheetViews>
  <sheetFormatPr baseColWidth="10" defaultColWidth="9.140625" defaultRowHeight="15" x14ac:dyDescent="0.25"/>
  <cols>
    <col min="2" max="2" width="31.5703125" bestFit="1" customWidth="1"/>
    <col min="3" max="3" width="25.140625" bestFit="1" customWidth="1"/>
    <col min="4" max="4" width="13.28515625" bestFit="1" customWidth="1"/>
    <col min="5" max="5" width="19.5703125" bestFit="1" customWidth="1"/>
    <col min="6" max="6" width="30" bestFit="1" customWidth="1"/>
    <col min="7" max="7" width="19.28515625" bestFit="1" customWidth="1"/>
    <col min="8" max="8" width="11.5703125" bestFit="1" customWidth="1"/>
    <col min="9" max="9" width="10.7109375" bestFit="1" customWidth="1"/>
    <col min="10" max="10" width="10.5703125" bestFit="1" customWidth="1"/>
    <col min="11" max="11" width="13.28515625" bestFit="1" customWidth="1"/>
    <col min="12" max="12" width="13.140625" bestFit="1" customWidth="1"/>
    <col min="13" max="13" width="8.5703125" bestFit="1" customWidth="1"/>
    <col min="14" max="14" width="52.7109375" bestFit="1" customWidth="1"/>
  </cols>
  <sheetData>
    <row r="1" spans="1:14" x14ac:dyDescent="0.25">
      <c r="A1" s="54" t="s">
        <v>19</v>
      </c>
      <c r="B1" s="54"/>
      <c r="C1" s="54"/>
      <c r="D1" s="54"/>
      <c r="E1" s="54"/>
      <c r="F1" s="54"/>
    </row>
    <row r="2" spans="1:14" x14ac:dyDescent="0.25">
      <c r="C2" s="5" t="s">
        <v>20</v>
      </c>
      <c r="D2" s="5" t="s">
        <v>21</v>
      </c>
    </row>
    <row r="3" spans="1:14" x14ac:dyDescent="0.25">
      <c r="A3" s="55" t="str">
        <f>+C11</f>
        <v>MARIA JOSÉ</v>
      </c>
      <c r="B3" s="55"/>
      <c r="C3" s="9">
        <f>+K11</f>
        <v>428672</v>
      </c>
      <c r="D3" s="9">
        <f>+C3/2</f>
        <v>214336</v>
      </c>
      <c r="F3" s="55"/>
      <c r="G3" s="55"/>
      <c r="H3" s="55"/>
      <c r="I3" s="10"/>
    </row>
    <row r="4" spans="1:14" x14ac:dyDescent="0.25">
      <c r="B4" s="5" t="s">
        <v>22</v>
      </c>
      <c r="D4" s="9">
        <f>SUM(D3:D3)</f>
        <v>214336</v>
      </c>
      <c r="F4" t="s">
        <v>23</v>
      </c>
    </row>
    <row r="5" spans="1:14" x14ac:dyDescent="0.25">
      <c r="B5" s="5" t="s">
        <v>24</v>
      </c>
      <c r="E5" s="11" t="s">
        <v>25</v>
      </c>
      <c r="G5" s="11" t="s">
        <v>26</v>
      </c>
    </row>
    <row r="6" spans="1:14" x14ac:dyDescent="0.25">
      <c r="B6" s="5" t="s">
        <v>27</v>
      </c>
      <c r="D6" s="9">
        <f>+D4-D5</f>
        <v>214336</v>
      </c>
      <c r="E6" s="12"/>
      <c r="F6" s="13"/>
      <c r="G6" s="14"/>
      <c r="H6" s="8"/>
    </row>
    <row r="7" spans="1:14" x14ac:dyDescent="0.25">
      <c r="B7" s="5" t="s">
        <v>28</v>
      </c>
      <c r="D7" s="15" t="s">
        <v>29</v>
      </c>
      <c r="I7" s="8"/>
    </row>
    <row r="8" spans="1:14" x14ac:dyDescent="0.25">
      <c r="C8" s="6"/>
      <c r="E8" s="16"/>
      <c r="L8" s="5" t="s">
        <v>21</v>
      </c>
    </row>
    <row r="9" spans="1:14" x14ac:dyDescent="0.25">
      <c r="C9" s="6"/>
      <c r="E9" s="17">
        <v>0.26669999999999999</v>
      </c>
      <c r="F9" s="18">
        <f>+F11/D11</f>
        <v>0</v>
      </c>
      <c r="G9" s="17">
        <v>1.0999999999999999E-2</v>
      </c>
      <c r="H9" s="17">
        <f>+H11/D11</f>
        <v>0</v>
      </c>
      <c r="I9" s="18">
        <f>+I11/D11</f>
        <v>0</v>
      </c>
      <c r="J9" s="18">
        <f>+J11/D11</f>
        <v>0</v>
      </c>
    </row>
    <row r="10" spans="1:14" x14ac:dyDescent="0.25">
      <c r="C10" s="6"/>
      <c r="D10" s="7" t="s">
        <v>30</v>
      </c>
      <c r="E10" s="7" t="s">
        <v>31</v>
      </c>
      <c r="F10" s="7" t="s">
        <v>32</v>
      </c>
      <c r="G10" s="7" t="s">
        <v>15</v>
      </c>
      <c r="H10" s="7" t="s">
        <v>33</v>
      </c>
      <c r="I10" s="7" t="s">
        <v>34</v>
      </c>
      <c r="J10" s="7" t="s">
        <v>35</v>
      </c>
      <c r="K10" s="7" t="s">
        <v>36</v>
      </c>
    </row>
    <row r="11" spans="1:14" x14ac:dyDescent="0.25">
      <c r="C11" s="6" t="s">
        <v>50</v>
      </c>
      <c r="D11" s="16">
        <v>428672</v>
      </c>
      <c r="E11" s="16"/>
      <c r="F11" s="16"/>
      <c r="G11" s="16"/>
      <c r="H11" s="16"/>
      <c r="I11" s="16"/>
      <c r="J11" s="16"/>
      <c r="K11" s="19">
        <f>SUM(D11:J11)</f>
        <v>428672</v>
      </c>
      <c r="L11" s="20">
        <f>+K11/2</f>
        <v>214336</v>
      </c>
      <c r="M11" t="s">
        <v>34</v>
      </c>
      <c r="N11" t="s">
        <v>37</v>
      </c>
    </row>
    <row r="12" spans="1:14" x14ac:dyDescent="0.25">
      <c r="C12" s="6"/>
      <c r="D12" s="21" t="s">
        <v>38</v>
      </c>
      <c r="E12" s="21" t="s">
        <v>38</v>
      </c>
      <c r="F12" s="21" t="s">
        <v>38</v>
      </c>
      <c r="G12" s="21" t="s">
        <v>38</v>
      </c>
      <c r="H12" s="21" t="s">
        <v>39</v>
      </c>
      <c r="I12" s="21" t="s">
        <v>39</v>
      </c>
      <c r="J12" s="21" t="s">
        <v>39</v>
      </c>
    </row>
    <row r="13" spans="1:14" x14ac:dyDescent="0.25">
      <c r="C13" s="6"/>
      <c r="E13" s="16"/>
      <c r="F13" s="22"/>
    </row>
    <row r="14" spans="1:14" x14ac:dyDescent="0.25">
      <c r="C14" s="6"/>
      <c r="D14" s="25"/>
      <c r="E14" s="23">
        <f>SUM(E12:E13)</f>
        <v>0</v>
      </c>
      <c r="F14" s="22"/>
    </row>
    <row r="15" spans="1:14" x14ac:dyDescent="0.25">
      <c r="C15" s="6"/>
      <c r="D15" s="25"/>
      <c r="E15" s="16"/>
      <c r="F15" s="22"/>
    </row>
    <row r="16" spans="1:14" x14ac:dyDescent="0.25">
      <c r="D16" s="16"/>
      <c r="F16" s="16"/>
    </row>
    <row r="17" spans="2:8" x14ac:dyDescent="0.25">
      <c r="C17" s="16"/>
      <c r="D17" s="16"/>
      <c r="E17" s="25"/>
      <c r="F17" s="25"/>
    </row>
    <row r="18" spans="2:8" x14ac:dyDescent="0.25">
      <c r="C18" s="25"/>
      <c r="D18" s="25"/>
    </row>
    <row r="19" spans="2:8" x14ac:dyDescent="0.25">
      <c r="B19" s="1" t="s">
        <v>67</v>
      </c>
      <c r="C19" s="33">
        <f>609780/2</f>
        <v>304890</v>
      </c>
      <c r="D19" s="19"/>
      <c r="E19" s="27"/>
      <c r="G19" s="54"/>
      <c r="H19" s="54"/>
    </row>
    <row r="20" spans="2:8" x14ac:dyDescent="0.25">
      <c r="B20" s="1" t="s">
        <v>65</v>
      </c>
      <c r="C20" s="34">
        <v>123782</v>
      </c>
      <c r="E20" s="27"/>
      <c r="G20" s="28"/>
      <c r="H20" s="25"/>
    </row>
    <row r="21" spans="2:8" x14ac:dyDescent="0.25">
      <c r="B21" s="1" t="s">
        <v>66</v>
      </c>
      <c r="C21" s="35">
        <f>SUM(C19:C20)</f>
        <v>428672</v>
      </c>
    </row>
    <row r="24" spans="2:8" x14ac:dyDescent="0.25">
      <c r="E24" s="25"/>
    </row>
    <row r="25" spans="2:8" x14ac:dyDescent="0.25">
      <c r="E25" s="16"/>
    </row>
    <row r="26" spans="2:8" x14ac:dyDescent="0.25">
      <c r="E26" s="26"/>
    </row>
    <row r="29" spans="2:8" x14ac:dyDescent="0.25">
      <c r="E29" s="26"/>
    </row>
  </sheetData>
  <mergeCells count="4">
    <mergeCell ref="A1:F1"/>
    <mergeCell ref="A3:B3"/>
    <mergeCell ref="F3:H3"/>
    <mergeCell ref="G19:H19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Detalle</vt:lpstr>
      <vt:lpstr>Monto de factura</vt:lpstr>
      <vt:lpstr>REBAJO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Angie Bermudez</cp:lastModifiedBy>
  <dcterms:created xsi:type="dcterms:W3CDTF">2019-01-22T21:10:51Z</dcterms:created>
  <dcterms:modified xsi:type="dcterms:W3CDTF">2026-07-20T20:41:50Z</dcterms:modified>
</cp:coreProperties>
</file>