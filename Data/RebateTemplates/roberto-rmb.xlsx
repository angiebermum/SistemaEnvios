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c7603ceb8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lle" sheetId="1" r:id="Re1c0e326b5fb499f"/>
    <x:sheet xmlns:r="http://schemas.openxmlformats.org/officeDocument/2006/relationships" name="Monto de factura" sheetId="2" r:id="R141e8f2f37ed4ff6"/>
    <x:sheet xmlns:r="http://schemas.openxmlformats.org/officeDocument/2006/relationships" name="REBAJO" sheetId="3" r:id="R656f7452980c40cc"/>
  </x:sheets>
</x:workbook>
</file>

<file path=xl/sharedStrings.xml><?xml version="1.0" encoding="utf-8"?>
<x:sst xmlns:x="http://schemas.openxmlformats.org/spreadsheetml/2006/main">
  <x:si>
    <x:t xml:space="preserve">Código</x:t>
  </x:si>
  <x:si>
    <x:t xml:space="preserve">Corredor</x:t>
  </x:si>
  <x:si>
    <x:t xml:space="preserve">Póliza</x:t>
  </x:si>
  <x:si>
    <x:t xml:space="preserve">Asegurado</x:t>
  </x:si>
  <x:si>
    <x:t xml:space="preserve">Aseguradora</x:t>
  </x:si>
  <x:si>
    <x:t xml:space="preserve">Trans.</x:t>
  </x:si>
  <x:si>
    <x:t xml:space="preserve">Categoría</x:t>
  </x:si>
  <x:si>
    <x:t xml:space="preserve">Moneda</x:t>
  </x:si>
  <x:si>
    <x:t xml:space="preserve">Prima</x:t>
  </x:si>
  <x:si>
    <x:t xml:space="preserve">Comisión Bruta</x:t>
  </x:si>
  <x:si>
    <x:t xml:space="preserve">% Corredor</x:t>
  </x:si>
  <x:si>
    <x:t xml:space="preserve">Comisión Corredor</x:t>
  </x:si>
  <x:si>
    <x:t xml:space="preserve">2%</x:t>
  </x:si>
  <x:si>
    <x:t xml:space="preserve">Total Final</x:t>
  </x:si>
  <x:si>
    <x:t xml:space="preserve">Observación</x:t>
  </x:si>
  <x:si>
    <x:t xml:space="preserve">191</x:t>
  </x:si>
  <x:si>
    <x:t xml:space="preserve">Roberto  Merino/RMB Brenes</x:t>
  </x:si>
  <x:si>
    <x:t xml:space="preserve">APTV-64983</x:t>
  </x:si>
  <x:si>
    <x:t xml:space="preserve">YESSMY YURIANA ROVIRA ARIAS</x:t>
  </x:si>
  <x:si>
    <x:t xml:space="preserve">MNK SEGUROS </x:t>
  </x:si>
  <x:si>
    <x:t xml:space="preserve">RENO</x:t>
  </x:si>
  <x:si>
    <x:t xml:space="preserve">Seguros Generales</x:t>
  </x:si>
  <x:si>
    <x:t xml:space="preserve">Colones</x:t>
  </x:si>
  <x:si>
    <x:t xml:space="preserve">90.00</x:t>
  </x:si>
  <x:si>
    <x:t xml:space="preserve">187</x:t>
  </x:si>
  <x:si>
    <x:t xml:space="preserve">Roberto  Merino/RMB2 Brenes </x:t>
  </x:si>
  <x:si>
    <x:t xml:space="preserve">9572577</x:t>
  </x:si>
  <x:si>
    <x:t xml:space="preserve">EMPRENDIMIENTOS  DINAMICOS DEL</x:t>
  </x:si>
  <x:si>
    <x:t xml:space="preserve">INS</x:t>
  </x:si>
  <x:si>
    <x:t xml:space="preserve">Seguros Personales</x:t>
  </x:si>
  <x:si>
    <x:t xml:space="preserve">85.00</x:t>
  </x:si>
  <x:si>
    <x:t xml:space="preserve">01-12-AUT-0065523-13</x:t>
  </x:si>
  <x:si>
    <x:t xml:space="preserve">JANKE . ANDREAS</x:t>
  </x:si>
  <x:si>
    <x:t xml:space="preserve">EMIS</x:t>
  </x:si>
  <x:si>
    <x:t xml:space="preserve">01-12-AUT-0085184-06</x:t>
  </x:si>
  <x:si>
    <x:t xml:space="preserve">MONGE BONILLA JORGE FRANCISCO</x:t>
  </x:si>
  <x:si>
    <x:t xml:space="preserve">01-12-AUT-0089377-05</x:t>
  </x:si>
  <x:si>
    <x:t xml:space="preserve">VARGAS HERNANDEZ LUIS ROBERTO</x:t>
  </x:si>
  <x:si>
    <x:t xml:space="preserve">01-12-AUT-0089378-05</x:t>
  </x:si>
  <x:si>
    <x:t xml:space="preserve">SEGURA ROMAN KATIA VANESSA</x:t>
  </x:si>
  <x:si>
    <x:t xml:space="preserve">01-12-AUT-0091159-04</x:t>
  </x:si>
  <x:si>
    <x:t xml:space="preserve">GARCIA NU?EZ WENDY</x:t>
  </x:si>
  <x:si>
    <x:t xml:space="preserve">01-12-AUT-0092255-04</x:t>
  </x:si>
  <x:si>
    <x:t xml:space="preserve">RAMIREZ SOLANO PABLO ANDRES</x:t>
  </x:si>
  <x:si>
    <x:t xml:space="preserve">01-12-AUT-0094285-03</x:t>
  </x:si>
  <x:si>
    <x:t xml:space="preserve">GOMEZ JIMENEZ ANDRES GERARDO</x:t>
  </x:si>
  <x:si>
    <x:t xml:space="preserve">01-12-RCG-0002787-04</x:t>
  </x:si>
  <x:si>
    <x:t xml:space="preserve">BELLANERO QUESADA ADRIAN RICAR</x:t>
  </x:si>
  <x:si>
    <x:t xml:space="preserve">AU-204813-37620-0</x:t>
  </x:si>
  <x:si>
    <x:t xml:space="preserve">ADAN LUIS CARMONA PEREZ</x:t>
  </x:si>
  <x:si>
    <x:t xml:space="preserve">LAFISE</x:t>
  </x:si>
  <x:si>
    <x:t xml:space="preserve">AU-256679-31483-0</x:t>
  </x:si>
  <x:si>
    <x:t xml:space="preserve">ESTEBAN BRENES VEGA</x:t>
  </x:si>
  <x:si>
    <x:t xml:space="preserve">AU-271124-37548-0</x:t>
  </x:si>
  <x:si>
    <x:t xml:space="preserve">JEFFRIE GERARDO CAMPOS SALAS</x:t>
  </x:si>
  <x:si>
    <x:t xml:space="preserve">3022110100307</x:t>
  </x:si>
  <x:si>
    <x:t xml:space="preserve">ARROYO CHACON, JANDREY  LLEFREN</x:t>
  </x:si>
  <x:si>
    <x:t xml:space="preserve">MAPFRE</x:t>
  </x:si>
  <x:si>
    <x:t xml:space="preserve">ABON</x:t>
  </x:si>
  <x:si>
    <x:t xml:space="preserve">3022310107836</x:t>
  </x:si>
  <x:si>
    <x:t xml:space="preserve">ESQUIVEL MONTOYA, MILTON</x:t>
  </x:si>
  <x:si>
    <x:t xml:space="preserve">3022410111419</x:t>
  </x:si>
  <x:si>
    <x:t xml:space="preserve">GUIDO JIMÉNEZ, RONALD ANTONIO</x:t>
  </x:si>
  <x:si>
    <x:t xml:space="preserve">3022410112803</x:t>
  </x:si>
  <x:si>
    <x:t xml:space="preserve">GOMEZ SOLANO, IVON MARIA</x:t>
  </x:si>
  <x:si>
    <x:t xml:space="preserve">3022410113289</x:t>
  </x:si>
  <x:si>
    <x:t xml:space="preserve">MARTINEZ SANDI, BREYSSY</x:t>
  </x:si>
  <x:si>
    <x:t xml:space="preserve">3022510115980</x:t>
  </x:si>
  <x:si>
    <x:t xml:space="preserve">TARANTELA SOCIEDAD ANONIMA</x:t>
  </x:si>
  <x:si>
    <x:t xml:space="preserve">APTV-66206</x:t>
  </x:si>
  <x:si>
    <x:t xml:space="preserve">MARIELA FEOLI CAMPOS</x:t>
  </x:si>
  <x:si>
    <x:t xml:space="preserve">APTV-68670</x:t>
  </x:si>
  <x:si>
    <x:t xml:space="preserve">JOAQUIN JOSE SOLERA MORENO</x:t>
  </x:si>
  <x:si>
    <x:t xml:space="preserve">APTV-65670</x:t>
  </x:si>
  <x:si>
    <x:t xml:space="preserve">ALEXANDRA SONJA M BAIJOT</x:t>
  </x:si>
  <x:si>
    <x:t xml:space="preserve">APTV-65287</x:t>
  </x:si>
  <x:si>
    <x:t xml:space="preserve">OLMAN SAID SALAS ESPINOZA</x:t>
  </x:si>
  <x:si>
    <x:t xml:space="preserve">APTV-45147</x:t>
  </x:si>
  <x:si>
    <x:t xml:space="preserve">GOODMANSON KATHKEEEN MARY</x:t>
  </x:si>
  <x:si>
    <x:t xml:space="preserve">APTV-40929</x:t>
  </x:si>
  <x:si>
    <x:t xml:space="preserve">PABLO ANDRES RAMIREZ SOLANO</x:t>
  </x:si>
  <x:si>
    <x:t xml:space="preserve">APTV-65412</x:t>
  </x:si>
  <x:si>
    <x:t xml:space="preserve">RICHARD CAPLETT MORALES</x:t>
  </x:si>
  <x:si>
    <x:t xml:space="preserve">0160022511</x:t>
  </x:si>
  <x:si>
    <x:t xml:space="preserve">ALVARADO ALFARO CAROLINA</x:t>
  </x:si>
  <x:si>
    <x:t xml:space="preserve">QUALITAS</x:t>
  </x:si>
  <x:si>
    <x:t xml:space="preserve">ACRE.COMIS.R.F.</x:t>
  </x:si>
  <x:si>
    <x:t xml:space="preserve">0160020425</x:t>
  </x:si>
  <x:si>
    <x:t xml:space="preserve">RAMIREZ SOLANO MARIA AUXILIADORA</x:t>
  </x:si>
  <x:si>
    <x:t xml:space="preserve">0160028998</x:t>
  </x:si>
  <x:si>
    <x:t xml:space="preserve">MERINO BRENES ROBERTO</x:t>
  </x:si>
  <x:si>
    <x:t xml:space="preserve">Monto bruto comison</x:t>
  </x:si>
  <x:si>
    <x:t xml:space="preserve">I.V.A</x:t>
  </x:si>
  <x:si>
    <x:t xml:space="preserve">Monto Factura</x:t>
  </x:si>
  <x:si>
    <x:t xml:space="preserve">Retencion 2%</x:t>
  </x:si>
  <x:si>
    <x:t xml:space="preserve">Monto depositado </x:t>
  </x:si>
  <x:si>
    <x:t xml:space="preserve">70B2903</x:t>
  </x:si>
  <x:si>
    <x:t xml:space="preserve">VALVERDE, EDUARDO ANTONIO</x:t>
  </x:si>
  <x:si>
    <x:t xml:space="preserve">ASSA</x:t>
  </x:si>
  <x:si>
    <x:t xml:space="preserve">Dólares</x:t>
  </x:si>
  <x:si>
    <x:t xml:space="preserve">70B2399</x:t>
  </x:si>
  <x:si>
    <x:t xml:space="preserve">SABORIO MOLINA, DAVID</x:t>
  </x:si>
  <x:si>
    <x:t xml:space="preserve">70B2242</x:t>
  </x:si>
  <x:si>
    <x:t xml:space="preserve">ANDREOZZI, LUCIANA</x:t>
  </x:si>
  <x:si>
    <x:t xml:space="preserve">70B99</x:t>
  </x:si>
  <x:si>
    <x:t xml:space="preserve">BRENES VEGA, ESTEBAN</x:t>
  </x:si>
  <x:si>
    <x:t xml:space="preserve">70B1690</x:t>
  </x:si>
  <x:si>
    <x:t xml:space="preserve">TIPPIE, SHAY MARIE</x:t>
  </x:si>
  <x:si>
    <x:t xml:space="preserve">70B1574</x:t>
  </x:si>
  <x:si>
    <x:t xml:space="preserve">CABEZAS RODRIGUEZ, MARLEN</x:t>
  </x:si>
  <x:si>
    <x:t xml:space="preserve">70B1969</x:t>
  </x:si>
  <x:si>
    <x:t xml:space="preserve">ALVAREZ GUEVARA, ERNESTO</x:t>
  </x:si>
  <x:si>
    <x:t xml:space="preserve">70B4299</x:t>
  </x:si>
  <x:si>
    <x:t xml:space="preserve">VALENZUELA, FEDERICO</x:t>
  </x:si>
  <x:si>
    <x:t xml:space="preserve">70B997</x:t>
  </x:si>
  <x:si>
    <x:t xml:space="preserve">MULLINS, JOHN FRANCIS</x:t>
  </x:si>
  <x:si>
    <x:t xml:space="preserve">70B1783</x:t>
  </x:si>
  <x:si>
    <x:t xml:space="preserve">SABORIO CUBERO, ALEXANDRA</x:t>
  </x:si>
  <x:si>
    <x:t xml:space="preserve">70B2628</x:t>
  </x:si>
  <x:si>
    <x:t xml:space="preserve">CAVALLINI SOTO, GILBERTH</x:t>
  </x:si>
  <x:si>
    <x:t xml:space="preserve">60B360</x:t>
  </x:si>
  <x:si>
    <x:t xml:space="preserve">02B55607</x:t>
  </x:si>
  <x:si>
    <x:t xml:space="preserve">GUZMAN, ANDRES</x:t>
  </x:si>
  <x:si>
    <x:t xml:space="preserve">2500783158</x:t>
  </x:si>
  <x:si>
    <x:t xml:space="preserve">EZEQUIEL FERNANDO MARINONI</x:t>
  </x:si>
  <x:si>
    <x:t xml:space="preserve">BMI</x:t>
  </x:si>
  <x:si>
    <x:t xml:space="preserve">2600791939</x:t>
  </x:si>
  <x:si>
    <x:t xml:space="preserve">DAYANA YOLETTE SUAREZ MARQUINA</x:t>
  </x:si>
  <x:si>
    <x:t xml:space="preserve">2300745745</x:t>
  </x:si>
  <x:si>
    <x:t xml:space="preserve">BRENT AMES MILLER</x:t>
  </x:si>
  <x:si>
    <x:t xml:space="preserve">2500784309</x:t>
  </x:si>
  <x:si>
    <x:t xml:space="preserve">JAVIERA PAZ JIMÉNEZ AEDO</x:t>
  </x:si>
  <x:si>
    <x:t xml:space="preserve">2500769982</x:t>
  </x:si>
  <x:si>
    <x:t xml:space="preserve">VALERIA MERINO MAYORGA</x:t>
  </x:si>
  <x:si>
    <x:t xml:space="preserve">2500770312</x:t>
  </x:si>
  <x:si>
    <x:t xml:space="preserve">FIORELLA MERINO MAYORGA</x:t>
  </x:si>
  <x:si>
    <x:t xml:space="preserve">2500778703</x:t>
  </x:si>
  <x:si>
    <x:t xml:space="preserve">JASON MICHAEL SCHNEIDER</x:t>
  </x:si>
  <x:si>
    <x:t xml:space="preserve">02-09-AUT-0009579-00</x:t>
  </x:si>
  <x:si>
    <x:t xml:space="preserve">FERNANDEZ SOTO ANABELLE PATRIC</x:t>
  </x:si>
  <x:si>
    <x:t xml:space="preserve">02-12-AUT-0008465-00</x:t>
  </x:si>
  <x:si>
    <x:t xml:space="preserve">BIANCONI MICHAEL ANTHONY</x:t>
  </x:si>
  <x:si>
    <x:t xml:space="preserve">02-12-GFL-0000817-00</x:t>
  </x:si>
  <x:si>
    <x:t xml:space="preserve">HOEPKER MACAYA ROBERT ANTONIO</x:t>
  </x:si>
  <x:si>
    <x:t xml:space="preserve">IH-257358-4297-0</x:t>
  </x:si>
  <x:si>
    <x:t xml:space="preserve">ROBERT HEADRICK</x:t>
  </x:si>
  <x:si>
    <x:t xml:space="preserve">IH-257358-4298-0</x:t>
  </x:si>
  <x:si>
    <x:t xml:space="preserve">AU-291671-40169-0</x:t>
  </x:si>
  <x:si>
    <x:t xml:space="preserve">GREGORY II THEODORE</x:t>
  </x:si>
  <x:si>
    <x:t xml:space="preserve">2072300000062</x:t>
  </x:si>
  <x:si>
    <x:t xml:space="preserve">THOM , RANDALL ROBERT</x:t>
  </x:si>
  <x:si>
    <x:t xml:space="preserve">3022410113275</x:t>
  </x:si>
  <x:si>
    <x:t xml:space="preserve">WORRELL , KURT  ALAN</x:t>
  </x:si>
  <x:si>
    <x:t xml:space="preserve">INCH-5151</x:t>
  </x:si>
  <x:si>
    <x:t xml:space="preserve">SENDERO UNIVERSAL CINCO B LIMITADA</x:t>
  </x:si>
  <x:si>
    <x:t xml:space="preserve">INCH-4050</x:t>
  </x:si>
  <x:si>
    <x:t xml:space="preserve">3102869643 SOCIEDAD DE RESPONSABILIDAD LIMITADA</x:t>
  </x:si>
  <x:si>
    <x:t xml:space="preserve">INCH-5154</x:t>
  </x:si>
  <x:si>
    <x:t xml:space="preserve">ALMENDROS LOT NUMBER SIXTY NINE S.R.L</x:t>
  </x:si>
  <x:si>
    <x:t xml:space="preserve">0160025024</x:t>
  </x:si>
  <x:si>
    <x:t xml:space="preserve">FOUNTAINE  STEPHEN JAMES</x:t>
  </x:si>
  <x:si>
    <x:t xml:space="preserve">0160028540</x:t>
  </x:si>
  <x:si>
    <x:t xml:space="preserve">CENTINELA DEL PILAR S.A</x:t>
  </x:si>
  <x:si>
    <x:t xml:space="preserve">RESUMEN DE PAGOS -IQ Julio</x:t>
  </x:si>
  <x:si>
    <x:t xml:space="preserve">Corredor </x:t>
  </x:si>
  <x:si>
    <x:t xml:space="preserve">COLONES </x:t>
  </x:si>
  <x:si>
    <x:t xml:space="preserve">DOLARES</x:t>
  </x:si>
  <x:si>
    <x:t xml:space="preserve">ROBERTO MERINO </x:t>
  </x:si>
  <x:si>
    <x:t xml:space="preserve">ROBERTO MERINO</x:t>
  </x:si>
  <x:si>
    <x:t xml:space="preserve">Rebajo salario</x:t>
  </x:si>
  <x:si>
    <x:t xml:space="preserve">Monto a facturar:</x:t>
  </x:si>
  <x:si>
    <x:t xml:space="preserve">Rebajo poliza Mario julio-septiembre</x:t>
  </x:si>
  <x:si>
    <x:t xml:space="preserve">REBAJO QUINCENAL POR CONCEPTO DE PAGO DE SALARIOS</x:t>
  </x:si>
  <x:si>
    <x:t xml:space="preserve">TOTAL MENSUAL</x:t>
  </x:si>
  <x:si>
    <x:t xml:space="preserve">QUINCENAL</x:t>
  </x:si>
  <x:si>
    <x:t xml:space="preserve">TOTAL REBAJO QUINCENAL</x:t>
  </x:si>
  <x:si>
    <x:t xml:space="preserve">Monto a favor </x:t>
  </x:si>
  <x:si>
    <x:t xml:space="preserve">TOTAL REBAJO </x:t>
  </x:si>
  <x:si>
    <x:t xml:space="preserve">MONTO EN DOLARES</x:t>
  </x:si>
  <x:si>
    <x:t xml:space="preserve">REBAJO EN COLONES</x:t>
  </x:si>
  <x:si>
    <x:t xml:space="preserve">Diferencia</x:t>
  </x:si>
  <x:si>
    <x:t xml:space="preserve">REBAJO EN DOLARES</x:t>
  </x:si>
  <x:si>
    <x:t xml:space="preserve">Salario</x:t>
  </x:si>
  <x:si>
    <x:t xml:space="preserve">CCSS</x:t>
  </x:si>
  <x:si>
    <x:t xml:space="preserve">Aguinaldo</x:t>
  </x:si>
  <x:si>
    <x:t xml:space="preserve">Vacaciones</x:t>
  </x:si>
  <x:si>
    <x:t xml:space="preserve">Preaviso</x:t>
  </x:si>
  <x:si>
    <x:t xml:space="preserve">Cesantía</x:t>
  </x:si>
  <x:si>
    <x:t xml:space="preserve">Total</x:t>
  </x:si>
  <x:si>
    <x:t xml:space="preserve">Quincenal</x:t>
  </x:si>
  <x:si>
    <x:t xml:space="preserve">Yerika Vega</x:t>
  </x:si>
  <x:si>
    <x:t xml:space="preserve">Fijo</x:t>
  </x:si>
  <x:si>
    <x:t xml:space="preserve">Estimado</x:t>
  </x:si>
</x:sst>
</file>

<file path=xl/styles.xml><?xml version="1.0" encoding="utf-8"?>
<x:styleSheet xmlns:x="http://schemas.openxmlformats.org/spreadsheetml/2006/main">
  <x:numFmts count="9">
    <x:numFmt numFmtId="44" formatCode="_-&quot;₡&quot;* #,##0.00_-;\-&quot;₡&quot;* #,##0.00_-;_-&quot;₡&quot;* &quot;-&quot;??_-;_-@_-"/>
    <x:numFmt numFmtId="43" formatCode="_-* #,##0.00_-;\-* #,##0.00_-;_-* &quot;-&quot;??_-;_-@_-"/>
    <x:numFmt numFmtId="164" formatCode="_(&quot;$&quot;* #,##0.00_);_(&quot;$&quot;* \(#,##0.00\);_(&quot;$&quot;* &quot;-&quot;??_);_(@_)"/>
    <x:numFmt numFmtId="165" formatCode="_(* #,##0.00_);_(* \(#,##0.00\);_(* &quot;-&quot;??_);_(@_)"/>
    <x:numFmt numFmtId="166" formatCode="_(&quot; &quot;* #,##0.00_);_(&quot; &quot;* \(#,##0.00\);_(&quot; &quot;* &quot;-&quot;??_);_(@_)"/>
    <x:numFmt numFmtId="167" formatCode="_-* #,##0.00\ _€_-;\-* #,##0.00\ _€_-;_-* &quot;-&quot;??\ _€_-;_-@_-"/>
    <x:numFmt numFmtId="168" formatCode="_(&quot;₡&quot;* #,##0.00_);_(&quot;₡&quot;* \(#,##0.00\);_(&quot;₡&quot;* &quot;-&quot;??_);_(@_)"/>
    <x:numFmt numFmtId="169" formatCode="_-&quot;$&quot;* #,##0.00_-;\-&quot;$&quot;* #,##0.00_-;_-&quot;$&quot;* &quot;-&quot;??_-;_-@_-"/>
    <x:numFmt numFmtId="170" formatCode="_-[$₡-140A]* #,##0.00_-;\-[$₡-140A]* #,##0.00_-;_-[$₡-140A]* &quot;-&quot;??_-;_-@_-"/>
  </x:numFmts>
  <x:fonts count="14">
    <x:font>
      <x:sz val="11"/>
      <x:color theme="1"/>
      <x:name val="Calibri"/>
    </x:font>
    <x:font>
      <x:sz val="11"/>
      <x:color theme="1"/>
      <x:name val="Calibri"/>
    </x:font>
    <x:font>
      <x:sz val="10"/>
      <x:name val="Arial"/>
    </x:font>
    <x:font>
      <x:sz val="10"/>
      <x:color rgb="FF000000"/>
      <x:name val="Times New Roman"/>
    </x:font>
    <x:font>
      <x:sz val="11"/>
      <x:color theme="0"/>
      <x:name val="Calibri"/>
    </x:font>
    <x:font>
      <x:sz val="10"/>
      <x:color indexed="8"/>
      <x:name val="Arial"/>
    </x:font>
    <x:font>
      <x:sz val="10"/>
      <x:color indexed="8"/>
      <x:name val="Arial"/>
    </x:font>
    <x:font>
      <x:sz val="11"/>
      <x:color rgb="FF000000"/>
      <x:name val="Calibri"/>
    </x:font>
    <x:font>
      <x:sz val="11"/>
      <x:color theme="0"/>
      <x:name val="Aptos Narrow"/>
    </x:font>
    <x:font>
      <x:b/>
      <x:sz val="11"/>
      <x:color rgb="FFFFC000"/>
      <x:name val="Aptos Narrow"/>
    </x:font>
    <x:font>
      <x:b/>
      <x:sz val="11"/>
      <x:color theme="0"/>
      <x:name val="Calibri"/>
    </x:font>
    <x:font>
      <x:b/>
      <x:sz val="11"/>
      <x:color rgb="FFFFFFFF"/>
      <x:name val="Aptos Narrow"/>
    </x:font>
    <x:font>
      <x:b/>
      <x:sz val="11"/>
      <x:color theme="1"/>
      <x:name val="Calibri"/>
    </x:font>
    <x:font>
      <x:i/>
      <x:sz val="11"/>
      <x:color theme="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070C0"/>
      </x:patternFill>
    </x:fill>
    <x:fill>
      <x:patternFill patternType="solid">
        <x:fgColor theme="3"/>
      </x:patternFill>
    </x:fill>
    <x:fill>
      <x:patternFill patternType="solid">
        <x:fgColor theme="3"/>
      </x:patternFill>
    </x:fill>
    <x:fill>
      <x:patternFill patternType="solid">
        <x:fgColor theme="3" tint="0.39998"/>
      </x:patternFill>
    </x:fill>
    <x:fill>
      <x:patternFill patternType="solid">
        <x:fgColor theme="4" tint="0.39998"/>
      </x:patternFill>
    </x:fill>
    <x:fill>
      <x:patternFill patternType="solid">
        <x:fgColor theme="4" tint="0.59999"/>
      </x:patternFill>
    </x:fill>
  </x:fills>
  <x:borders count="1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89">
    <x:xf numFmtId="0" fontId="0" fillId="0" borderId="0"/>
    <x:xf numFmtId="165" fontId="1" fillId="0" borderId="0" applyFont="0" applyFill="0" applyBorder="0" applyAlignment="0" applyProtection="0"/>
    <x:xf numFmtId="0" fontId="2" fillId="0" borderId="0"/>
    <x:xf numFmtId="167" fontId="2" fillId="0" borderId="0" applyFont="0" applyFill="0" applyBorder="0" applyAlignment="0" applyProtection="0"/>
    <x:xf numFmtId="167" fontId="2" fillId="0" borderId="0" applyFont="0" applyFill="0" applyBorder="0" applyAlignment="0" applyProtection="0"/>
    <x:xf numFmtId="167" fontId="2" fillId="0" borderId="0" applyFont="0" applyFill="0" applyBorder="0" applyAlignment="0" applyProtection="0"/>
    <x:xf numFmtId="167" fontId="2" fillId="0" borderId="0" applyFont="0" applyFill="0" applyBorder="0" applyAlignment="0" applyProtection="0"/>
    <x:xf numFmtId="0" fontId="2" fillId="0" borderId="0"/>
    <x:xf numFmtId="0" fontId="2" fillId="0" borderId="0"/>
    <x:xf numFmtId="0" fontId="1" fillId="0" borderId="0"/>
    <x:xf numFmtId="0" fontId="2" fillId="0" borderId="0"/>
    <x:xf numFmtId="0" fontId="2" fillId="0" borderId="0"/>
    <x:xf numFmtId="0" fontId="2" fillId="0" borderId="0"/>
    <x:xf numFmtId="168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0" fontId="3" fillId="0" borderId="0"/>
    <x:xf numFmtId="166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7" fontId="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9" fontId="1" fillId="0" borderId="0" applyFont="0" applyFill="0" applyBorder="0" applyAlignment="0" applyProtection="0"/>
    <x:xf numFmtId="167" fontId="2" fillId="0" borderId="0" applyFont="0" applyFill="0" applyBorder="0" applyAlignment="0" applyProtection="0"/>
    <x:xf numFmtId="167" fontId="2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5" fillId="0" borderId="0">
      <x:alignment vertical="top"/>
    </x:xf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166" fontId="1" fillId="0" borderId="0" applyFont="0" applyFill="0" applyBorder="0" applyAlignment="0" applyProtection="0"/>
    <x:xf numFmtId="0" fontId="1" fillId="0" borderId="0"/>
    <x:xf numFmtId="0" fontId="6" fillId="0" borderId="0">
      <x:alignment vertical="top"/>
    </x:xf>
    <x:xf numFmtId="9" fontId="6" fillId="0" borderId="0" applyFont="0" applyFill="0" applyBorder="0" applyAlignment="0" applyProtection="0">
      <x:alignment vertical="top"/>
    </x:xf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8" fontId="1" fillId="0" borderId="0" applyFont="0" applyFill="0" applyBorder="0" applyAlignment="0" applyProtection="0"/>
    <x:xf numFmtId="167" fontId="2" fillId="0" borderId="0" applyFont="0" applyFill="0" applyBorder="0" applyAlignment="0" applyProtection="0"/>
    <x:xf numFmtId="167" fontId="2" fillId="0" borderId="0" applyFont="0" applyFill="0" applyBorder="0" applyAlignment="0" applyProtection="0"/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9" fontId="1" fillId="0" borderId="0" applyFont="0" applyFill="0" applyBorder="0" applyAlignment="0" applyProtection="0"/>
    <x:xf numFmtId="0" fontId="6" fillId="0" borderId="0">
      <x:alignment vertical="top"/>
    </x:xf>
    <x:xf numFmtId="43" fontId="1" fillId="0" borderId="0" applyFont="0" applyFill="0" applyBorder="0" applyAlignment="0" applyProtection="0"/>
    <x:xf numFmtId="166" fontId="1" fillId="0" borderId="0" applyFont="0" applyFill="0" applyBorder="0" applyAlignment="0" applyProtection="0"/>
    <x:xf numFmtId="0" fontId="6" fillId="0" borderId="0">
      <x:alignment vertical="top"/>
    </x:xf>
    <x:xf numFmtId="168" fontId="1" fillId="0" borderId="0" applyFont="0" applyFill="0" applyBorder="0" applyAlignment="0" applyProtection="0"/>
    <x:xf numFmtId="0" fontId="7" fillId="0" borderId="0"/>
    <x:xf numFmtId="168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5" fillId="0" borderId="0">
      <x:alignment vertical="top"/>
    </x:xf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6" fontId="1" fillId="0" borderId="0" applyFont="0" applyFill="0" applyBorder="0" applyAlignment="0" applyProtection="0"/>
    <x:xf numFmtId="169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5" fillId="0" borderId="0">
      <x:alignment vertical="top"/>
    </x:xf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9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6" fillId="0" borderId="0">
      <x:alignment vertical="top"/>
    </x:xf>
    <x:xf numFmtId="43" fontId="1" fillId="0" borderId="0" applyFont="0" applyFill="0" applyBorder="0" applyAlignment="0" applyProtection="0"/>
    <x:xf numFmtId="168" fontId="1" fillId="0" borderId="0" applyFont="0" applyFill="0" applyBorder="0" applyAlignment="0" applyProtection="0"/>
    <x:xf numFmtId="168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6" fillId="0" borderId="0">
      <x:alignment vertical="top"/>
    </x:xf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9" fontId="6" fillId="0" borderId="0" applyFont="0" applyFill="0" applyBorder="0" applyAlignment="0" applyProtection="0">
      <x:alignment vertical="top"/>
    </x:xf>
    <x:xf numFmtId="0" fontId="6" fillId="0" borderId="0">
      <x:alignment vertical="top"/>
    </x:xf>
    <x:xf numFmtId="0" fontId="6" fillId="0" borderId="0">
      <x:alignment vertical="top"/>
    </x:xf>
    <x:xf numFmtId="166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169" fontId="1" fillId="0" borderId="0" applyFont="0" applyFill="0" applyBorder="0" applyAlignment="0" applyProtection="0"/>
    <x:xf numFmtId="169" fontId="1" fillId="0" borderId="0" applyFont="0" applyFill="0" applyBorder="0" applyAlignment="0" applyProtection="0"/>
    <x:xf numFmtId="0" fontId="6" fillId="0" borderId="0">
      <x:alignment vertical="top"/>
    </x:xf>
    <x:xf numFmtId="0" fontId="5" fillId="0" borderId="0">
      <x:alignment vertical="top"/>
    </x:xf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0" fontId="5" fillId="0" borderId="0">
      <x:alignment vertical="top"/>
    </x:xf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0" fontId="6" fillId="0" borderId="0">
      <x:alignment vertical="top"/>
    </x:xf>
    <x:xf numFmtId="169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9" fontId="5" fillId="0" borderId="0" applyFont="0" applyFill="0" applyBorder="0" applyAlignment="0" applyProtection="0">
      <x:alignment vertical="top"/>
    </x:xf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5" fillId="0" borderId="0">
      <x:alignment vertical="top"/>
    </x:xf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0" fontId="5" fillId="0" borderId="0">
      <x:alignment vertical="top"/>
    </x:xf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0" fontId="5" fillId="0" borderId="0">
      <x:alignment vertical="top"/>
    </x:xf>
    <x:xf numFmtId="9" fontId="5" fillId="0" borderId="0" applyFont="0" applyFill="0" applyBorder="0" applyAlignment="0" applyProtection="0">
      <x:alignment vertical="top"/>
    </x:xf>
    <x:xf numFmtId="0" fontId="5" fillId="0" borderId="0">
      <x:alignment vertical="top"/>
    </x:xf>
    <x:xf numFmtId="0" fontId="5" fillId="0" borderId="0">
      <x:alignment vertical="top"/>
    </x:xf>
    <x:xf numFmtId="166" fontId="1" fillId="0" borderId="0" applyFont="0" applyFill="0" applyBorder="0" applyAlignment="0" applyProtection="0"/>
    <x:xf numFmtId="0" fontId="5" fillId="0" borderId="0">
      <x:alignment vertical="top"/>
    </x:xf>
    <x:xf numFmtId="0" fontId="5" fillId="0" borderId="0">
      <x:alignment vertical="top"/>
    </x:xf>
    <x:xf numFmtId="0" fontId="5" fillId="0" borderId="0">
      <x:alignment vertical="top"/>
    </x:xf>
    <x:xf numFmtId="43" fontId="1" fillId="0" borderId="0" applyFont="0" applyFill="0" applyBorder="0" applyAlignment="0" applyProtection="0"/>
  </x:cellStyleXfs>
  <x:cellXfs count="63">
    <x:xf numFmtId="0" fontId="0" fillId="0" borderId="0" xfId="0"/>
    <x:xf numFmtId="0" fontId="0" fillId="0" borderId="1" xfId="0" applyBorder="1"/>
    <x:xf numFmtId="4" fontId="0" fillId="0" borderId="1" xfId="0" applyNumberFormat="1" applyBorder="1"/>
    <x:xf numFmtId="0" fontId="0" fillId="2" borderId="1" xfId="0" applyFill="1" applyBorder="1"/>
    <x:xf numFmtId="4" fontId="0" fillId="2" borderId="1" xfId="0" applyNumberFormat="1" applyFill="1" applyBorder="1"/>
    <x:xf numFmtId="4" fontId="0" fillId="0" borderId="0" xfId="0" applyNumberFormat="1"/>
    <x:xf numFmtId="43" fontId="0" fillId="0" borderId="1" xfId="188" applyFont="1" applyBorder="1"/>
    <x:xf numFmtId="43" fontId="0" fillId="0" borderId="0" xfId="188" applyFont="1"/>
    <x:xf numFmtId="0" fontId="0" fillId="0" borderId="0" xfId="0"/>
    <x:xf numFmtId="0" fontId="11" fillId="4" borderId="0" xfId="0" applyFont="1" applyFill="1" applyAlignment="1">
      <x:alignment vertical="center"/>
    </x:xf>
    <x:xf numFmtId="4" fontId="11" fillId="4" borderId="0" xfId="0" applyNumberFormat="1" applyFont="1" applyFill="1" applyAlignment="1">
      <x:alignment vertical="center"/>
    </x:xf>
    <x:xf numFmtId="4" fontId="10" fillId="5" borderId="0" xfId="0" applyNumberFormat="1" applyFont="1" applyFill="1"/>
    <x:xf numFmtId="0" fontId="12" fillId="0" borderId="0" xfId="0" applyFont="1"/>
    <x:xf numFmtId="170" fontId="0" fillId="0" borderId="0" xfId="0" applyNumberFormat="1"/>
    <x:xf numFmtId="0" fontId="0" fillId="6" borderId="0" xfId="0" applyFill="1"/>
    <x:xf numFmtId="0" fontId="0" fillId="0" borderId="0" xfId="0" applyAlignment="1">
      <x:alignment horizontal="center"/>
    </x:xf>
    <x:xf numFmtId="165" fontId="0" fillId="0" borderId="0" xfId="1" applyFont="1"/>
    <x:xf numFmtId="0" fontId="13" fillId="0" borderId="0" xfId="0" applyFont="1" applyAlignment="1">
      <x:alignment horizontal="center"/>
    </x:xf>
    <x:xf numFmtId="165" fontId="0" fillId="0" borderId="0" xfId="0" applyNumberFormat="1"/>
    <x:xf numFmtId="165" fontId="12" fillId="0" borderId="0" xfId="1" applyFont="1"/>
    <x:xf numFmtId="0" fontId="0" fillId="7" borderId="9" xfId="0" applyFill="1" applyBorder="1"/>
    <x:xf numFmtId="0" fontId="0" fillId="7" borderId="11" xfId="0" applyFill="1" applyBorder="1"/>
    <x:xf numFmtId="0" fontId="12" fillId="7" borderId="1" xfId="0" applyFont="1" applyFill="1" applyBorder="1"/>
    <x:xf numFmtId="0" fontId="0" fillId="7" borderId="10" xfId="0" applyFill="1" applyBorder="1"/>
    <x:xf numFmtId="0" fontId="0" fillId="7" borderId="1" xfId="0" applyFill="1" applyBorder="1"/>
    <x:xf numFmtId="4" fontId="0" fillId="7" borderId="1" xfId="0" applyNumberFormat="1" applyFill="1" applyBorder="1"/>
    <x:xf numFmtId="0" fontId="12" fillId="8" borderId="0" xfId="0" applyFont="1" applyFill="1"/>
    <x:xf numFmtId="0" fontId="0" fillId="8" borderId="0" xfId="0" applyFill="1"/>
    <x:xf numFmtId="165" fontId="0" fillId="8" borderId="0" xfId="0" applyNumberFormat="1" applyFill="1"/>
    <x:xf numFmtId="164" fontId="0" fillId="0" borderId="0" xfId="0" applyNumberFormat="1"/>
    <x:xf numFmtId="164" fontId="0" fillId="0" borderId="0" xfId="29" applyFont="1" applyFill="1"/>
    <x:xf numFmtId="0" fontId="12" fillId="8" borderId="7" xfId="0" applyFont="1" applyFill="1" applyBorder="1"/>
    <x:xf numFmtId="0" fontId="0" fillId="8" borderId="7" xfId="0" applyFill="1" applyBorder="1"/>
    <x:xf numFmtId="164" fontId="0" fillId="8" borderId="7" xfId="29" applyFont="1" applyFill="1" applyBorder="1"/>
    <x:xf numFmtId="170" fontId="0" fillId="8" borderId="0" xfId="29" applyNumberFormat="1" applyFont="1" applyFill="1"/>
    <x:xf numFmtId="0" fontId="12" fillId="6" borderId="0" xfId="0" applyFont="1" applyFill="1"/>
    <x:xf numFmtId="164" fontId="12" fillId="6" borderId="0" xfId="29" applyFont="1" applyFill="1"/>
    <x:xf numFmtId="0" fontId="0" fillId="7" borderId="1" xfId="0" applyFill="1" applyBorder="1" applyAlignment="1">
      <x:alignment horizontal="center"/>
    </x:xf>
    <x:xf numFmtId="10" fontId="0" fillId="7" borderId="1" xfId="0" applyNumberFormat="1" applyFill="1" applyBorder="1" applyAlignment="1">
      <x:alignment horizontal="center"/>
    </x:xf>
    <x:xf numFmtId="10" fontId="0" fillId="7" borderId="1" xfId="151" applyNumberFormat="1" applyFont="1" applyFill="1" applyBorder="1" applyAlignment="1">
      <x:alignment horizontal="center"/>
    </x:xf>
    <x:xf numFmtId="0" fontId="12" fillId="7" borderId="1" xfId="0" applyFont="1" applyFill="1" applyBorder="1" applyAlignment="1">
      <x:alignment horizontal="center"/>
    </x:xf>
    <x:xf numFmtId="10" fontId="0" fillId="0" borderId="0" xfId="151" applyNumberFormat="1" applyFont="1"/>
    <x:xf numFmtId="43" fontId="12" fillId="0" borderId="0" xfId="0" applyNumberFormat="1" applyFont="1"/>
    <x:xf numFmtId="167" fontId="12" fillId="0" borderId="0" xfId="0" applyNumberFormat="1" applyFont="1"/>
    <x:xf numFmtId="43" fontId="0" fillId="0" borderId="0" xfId="188" applyFont="1" applyFill="1"/>
    <x:xf numFmtId="4" fontId="8" fillId="5" borderId="0" xfId="0" applyNumberFormat="1" applyFont="1" applyFill="1" applyAlignment="1">
      <x:alignment horizontal="center"/>
    </x:xf>
    <x:xf numFmtId="4" fontId="9" fillId="5" borderId="0" xfId="0" applyNumberFormat="1" applyFont="1" applyFill="1" applyAlignment="1">
      <x:alignment horizontal="center"/>
    </x:xf>
    <x:xf numFmtId="0" fontId="4" fillId="3" borderId="3" xfId="0" applyFont="1" applyFill="1" applyBorder="1" applyAlignment="1">
      <x:alignment horizontal="center" vertical="center"/>
    </x:xf>
    <x:xf numFmtId="0" fontId="4" fillId="3" borderId="4" xfId="0" applyFont="1" applyFill="1" applyBorder="1" applyAlignment="1">
      <x:alignment horizontal="center" vertical="center"/>
    </x:xf>
    <x:xf numFmtId="0" fontId="4" fillId="3" borderId="0" xfId="0" applyFont="1" applyFill="1" applyAlignment="1">
      <x:alignment horizontal="center" vertical="center"/>
    </x:xf>
    <x:xf numFmtId="0" fontId="4" fillId="3" borderId="5" xfId="0" applyFont="1" applyFill="1" applyBorder="1" applyAlignment="1">
      <x:alignment horizontal="center" vertical="center"/>
    </x:xf>
    <x:xf numFmtId="0" fontId="4" fillId="3" borderId="2" xfId="0" applyFont="1" applyFill="1" applyBorder="1" applyAlignment="1">
      <x:alignment horizontal="center"/>
    </x:xf>
    <x:xf numFmtId="0" fontId="4" fillId="3" borderId="3" xfId="0" applyFont="1" applyFill="1" applyBorder="1" applyAlignment="1">
      <x:alignment horizontal="center"/>
    </x:xf>
    <x:xf numFmtId="0" fontId="4" fillId="3" borderId="4" xfId="0" applyFont="1" applyFill="1" applyBorder="1" applyAlignment="1">
      <x:alignment horizontal="center"/>
    </x:xf>
    <x:xf numFmtId="0" fontId="4" fillId="3" borderId="6" xfId="0" applyFont="1" applyFill="1" applyBorder="1" applyAlignment="1">
      <x:alignment horizontal="center"/>
    </x:xf>
    <x:xf numFmtId="0" fontId="4" fillId="3" borderId="7" xfId="0" applyFont="1" applyFill="1" applyBorder="1" applyAlignment="1">
      <x:alignment horizontal="center"/>
    </x:xf>
    <x:xf numFmtId="0" fontId="4" fillId="3" borderId="8" xfId="0" applyFont="1" applyFill="1" applyBorder="1" applyAlignment="1">
      <x:alignment horizontal="center"/>
    </x:xf>
    <x:xf numFmtId="0" fontId="4" fillId="3" borderId="9" xfId="0" applyFont="1" applyFill="1" applyBorder="1" applyAlignment="1">
      <x:alignment horizontal="center"/>
    </x:xf>
    <x:xf numFmtId="0" fontId="4" fillId="3" borderId="10" xfId="0" applyFont="1" applyFill="1" applyBorder="1" applyAlignment="1">
      <x:alignment horizontal="center"/>
    </x:xf>
    <x:xf numFmtId="0" fontId="4" fillId="3" borderId="11" xfId="0" applyFont="1" applyFill="1" applyBorder="1" applyAlignment="1">
      <x:alignment horizontal="center"/>
    </x:xf>
    <x:xf numFmtId="0" fontId="12" fillId="7" borderId="2" xfId="0" applyFont="1" applyFill="1" applyBorder="1" applyAlignment="1">
      <x:alignment horizontal="center"/>
    </x:xf>
    <x:xf numFmtId="0" fontId="12" fillId="7" borderId="3" xfId="0" applyFont="1" applyFill="1" applyBorder="1" applyAlignment="1">
      <x:alignment horizontal="center"/>
    </x:xf>
    <x:xf numFmtId="0" fontId="12" fillId="7" borderId="4" xfId="0" applyFont="1" applyFill="1" applyBorder="1" applyAlignment="1">
      <x:alignment horizontal="center"/>
    </x:xf>
  </x:cellXfs>
  <x:cellStyles count="189">
    <x:cellStyle name="Comma 2" xfId="17"/>
    <x:cellStyle name="Comma 2 2" xfId="28"/>
    <x:cellStyle name="Comma 2 2 2" xfId="68"/>
    <x:cellStyle name="Comma 2 2 2 2" xfId="129"/>
    <x:cellStyle name="Comma 2 2 3" xfId="91"/>
    <x:cellStyle name="Comma 2 2 3 2" xfId="143"/>
    <x:cellStyle name="Comma 2 2 4" xfId="96"/>
    <x:cellStyle name="Comma 2 3" xfId="58"/>
    <x:cellStyle name="Comma 2 3 2" xfId="121"/>
    <x:cellStyle name="Comma 2 4" xfId="80"/>
    <x:cellStyle name="Comma 2 4 2" xfId="134"/>
    <x:cellStyle name="Comma 2 5" xfId="95"/>
    <x:cellStyle name="Comma 3" xfId="18"/>
    <x:cellStyle name="Comma 3 2" xfId="27"/>
    <x:cellStyle name="Comma 3 2 2" xfId="67"/>
    <x:cellStyle name="Comma 3 2 2 2" xfId="128"/>
    <x:cellStyle name="Comma 3 2 3" xfId="90"/>
    <x:cellStyle name="Comma 3 2 3 2" xfId="142"/>
    <x:cellStyle name="Comma 3 2 4" xfId="100"/>
    <x:cellStyle name="Comma 3 3" xfId="59"/>
    <x:cellStyle name="Comma 3 3 2" xfId="122"/>
    <x:cellStyle name="Comma 3 4" xfId="84"/>
    <x:cellStyle name="Comma 3 4 2" xfId="138"/>
    <x:cellStyle name="Comma 3 5" xfId="98"/>
    <x:cellStyle name="Currency 2" xfId="43"/>
    <x:cellStyle name="Currency 3" xfId="38"/>
    <x:cellStyle name="Millares" xfId="188"/>
    <x:cellStyle name="Millares 2" xfId="1"/>
    <x:cellStyle name="Millares 2 10" xfId="169"/>
    <x:cellStyle name="Millares 2 2" xfId="5"/>
    <x:cellStyle name="Millares 2 2 2" xfId="24"/>
    <x:cellStyle name="Millares 2 2 2 2" xfId="37"/>
    <x:cellStyle name="Millares 2 2 2 2 2" xfId="72"/>
    <x:cellStyle name="Millares 2 2 2 2 2 2" xfId="131"/>
    <x:cellStyle name="Millares 2 2 2 2 3" xfId="93"/>
    <x:cellStyle name="Millares 2 2 2 2 3 2" xfId="145"/>
    <x:cellStyle name="Millares 2 2 2 2 4" xfId="110"/>
    <x:cellStyle name="Millares 2 2 2 3" xfId="64"/>
    <x:cellStyle name="Millares 2 2 2 3 2" xfId="116"/>
    <x:cellStyle name="Millares 2 2 2 4" xfId="85"/>
    <x:cellStyle name="Millares 2 2 2 4 2" xfId="139"/>
    <x:cellStyle name="Millares 2 2 2 5" xfId="101"/>
    <x:cellStyle name="Millares 2 2 3" xfId="26"/>
    <x:cellStyle name="Millares 2 2 4" xfId="33"/>
    <x:cellStyle name="Millares 2 2 5" xfId="113"/>
    <x:cellStyle name="Millares 2 2 6" xfId="172"/>
    <x:cellStyle name="Millares 2 2 7" xfId="168"/>
    <x:cellStyle name="Millares 2 3" xfId="14"/>
    <x:cellStyle name="Millares 2 3 2" xfId="21"/>
    <x:cellStyle name="Millares 2 3 2 2" xfId="49"/>
    <x:cellStyle name="Millares 2 3 2 2 2" xfId="105"/>
    <x:cellStyle name="Millares 2 3 2 3" xfId="66"/>
    <x:cellStyle name="Millares 2 3 2 3 2" xfId="127"/>
    <x:cellStyle name="Millares 2 3 3" xfId="31"/>
    <x:cellStyle name="Millares 2 3 3 2" xfId="65"/>
    <x:cellStyle name="Millares 2 3 3 2 2" xfId="126"/>
    <x:cellStyle name="Millares 2 3 3 3" xfId="88"/>
    <x:cellStyle name="Millares 2 3 3 3 2" xfId="141"/>
    <x:cellStyle name="Millares 2 3 3 4" xfId="106"/>
    <x:cellStyle name="Millares 2 3 4" xfId="75"/>
    <x:cellStyle name="Millares 2 3 4 2" xfId="115"/>
    <x:cellStyle name="Millares 2 3 5" xfId="79"/>
    <x:cellStyle name="Millares 2 3 5 2" xfId="133"/>
    <x:cellStyle name="Millares 2 3 6" xfId="97"/>
    <x:cellStyle name="Millares 2 3 7" xfId="174"/>
    <x:cellStyle name="Millares 2 4" xfId="4"/>
    <x:cellStyle name="Millares 2 5" xfId="19"/>
    <x:cellStyle name="Millares 2 5 2" xfId="60"/>
    <x:cellStyle name="Millares 2 5 2 2" xfId="123"/>
    <x:cellStyle name="Millares 2 5 3" xfId="83"/>
    <x:cellStyle name="Millares 2 5 3 2" xfId="137"/>
    <x:cellStyle name="Millares 2 5 4" xfId="103"/>
    <x:cellStyle name="Millares 2 6" xfId="25"/>
    <x:cellStyle name="Millares 2 6 2" xfId="52"/>
    <x:cellStyle name="Millares 2 6 2 2" xfId="118"/>
    <x:cellStyle name="Millares 2 6 3" xfId="86"/>
    <x:cellStyle name="Millares 2 6 3 2" xfId="140"/>
    <x:cellStyle name="Millares 2 6 4" xfId="108"/>
    <x:cellStyle name="Millares 2 7" xfId="73"/>
    <x:cellStyle name="Millares 2 7 2" xfId="112"/>
    <x:cellStyle name="Millares 2 8" xfId="77"/>
    <x:cellStyle name="Millares 2 8 2" xfId="132"/>
    <x:cellStyle name="Millares 2 9" xfId="94"/>
    <x:cellStyle name="Millares 3" xfId="6"/>
    <x:cellStyle name="Millares 3 2" xfId="22"/>
    <x:cellStyle name="Millares 3 2 2" xfId="35"/>
    <x:cellStyle name="Millares 3 2 2 2" xfId="71"/>
    <x:cellStyle name="Millares 3 2 2 2 2" xfId="130"/>
    <x:cellStyle name="Millares 3 2 2 3" xfId="92"/>
    <x:cellStyle name="Millares 3 2 2 3 2" xfId="144"/>
    <x:cellStyle name="Millares 3 2 2 4" xfId="109"/>
    <x:cellStyle name="Millares 3 2 3" xfId="61"/>
    <x:cellStyle name="Millares 3 2 3 2" xfId="114"/>
    <x:cellStyle name="Millares 3 2 4" xfId="82"/>
    <x:cellStyle name="Millares 3 2 4 2" xfId="136"/>
    <x:cellStyle name="Millares 3 2 5" xfId="102"/>
    <x:cellStyle name="Millares 3 3" xfId="34"/>
    <x:cellStyle name="Millares 3 3 2" xfId="47"/>
    <x:cellStyle name="Millares 3 3 3" xfId="44"/>
    <x:cellStyle name="Millares 3 4" xfId="111"/>
    <x:cellStyle name="Millares 3 5" xfId="177"/>
    <x:cellStyle name="Millares 3 6" xfId="178"/>
    <x:cellStyle name="Millares 4" xfId="3"/>
    <x:cellStyle name="Millares 4 2" xfId="23"/>
    <x:cellStyle name="Millares 4 2 2" xfId="62"/>
    <x:cellStyle name="Millares 4 2 2 2" xfId="124"/>
    <x:cellStyle name="Millares 4 2 3" xfId="81"/>
    <x:cellStyle name="Millares 4 2 3 2" xfId="135"/>
    <x:cellStyle name="Millares 4 2 4" xfId="99"/>
    <x:cellStyle name="Millares 4 3" xfId="46"/>
    <x:cellStyle name="Millares 5" xfId="150"/>
    <x:cellStyle name="Millares 5 2" xfId="156"/>
    <x:cellStyle name="Millares 6" xfId="157"/>
    <x:cellStyle name="Millares 6 2" xfId="165"/>
    <x:cellStyle name="Moneda 2" xfId="13"/>
    <x:cellStyle name="Moneda 2 2" xfId="16"/>
    <x:cellStyle name="Moneda 2 3" xfId="20"/>
    <x:cellStyle name="Moneda 2 3 2" xfId="48"/>
    <x:cellStyle name="Moneda 2 3 3" xfId="55"/>
    <x:cellStyle name="Moneda 2 3 3 2" xfId="89"/>
    <x:cellStyle name="Moneda 2 3 3 3" xfId="119"/>
    <x:cellStyle name="Moneda 2 3 3 3 2" xfId="161"/>
    <x:cellStyle name="Moneda 2 3 3 4" xfId="171"/>
    <x:cellStyle name="Moneda 2 3 4" xfId="45"/>
    <x:cellStyle name="Moneda 2 3 4 2" xfId="167"/>
    <x:cellStyle name="Moneda 2 3 4 3" xfId="159"/>
    <x:cellStyle name="Moneda 2 4" xfId="30"/>
    <x:cellStyle name="Moneda 2 4 2" xfId="76"/>
    <x:cellStyle name="Moneda 2 4 3" xfId="87"/>
    <x:cellStyle name="Moneda 2 5" xfId="57"/>
    <x:cellStyle name="Moneda 2 5 2" xfId="74"/>
    <x:cellStyle name="Moneda 2 5 3" xfId="120"/>
    <x:cellStyle name="Moneda 2 5 3 2" xfId="162"/>
    <x:cellStyle name="Moneda 2 5 4" xfId="179"/>
    <x:cellStyle name="Moneda 2 6" xfId="78"/>
    <x:cellStyle name="Moneda 2 7" xfId="175"/>
    <x:cellStyle name="Moneda 3" xfId="29"/>
    <x:cellStyle name="Moneda 3 2" xfId="32"/>
    <x:cellStyle name="Moneda 3 2 2" xfId="53"/>
    <x:cellStyle name="Moneda 3 2 2 2" xfId="70"/>
    <x:cellStyle name="Moneda 3 2 2 3" xfId="149"/>
    <x:cellStyle name="Moneda 3 2 2 4" xfId="184"/>
    <x:cellStyle name="Moneda 3 2 3" xfId="69"/>
    <x:cellStyle name="Moneda 3 2 4" xfId="107"/>
    <x:cellStyle name="Moneda 3 3" xfId="50"/>
    <x:cellStyle name="Moneda 3 4" xfId="39"/>
    <x:cellStyle name="Moneda 3 5" xfId="153"/>
    <x:cellStyle name="Moneda 4" xfId="152"/>
    <x:cellStyle name="Moneda 4 2" xfId="166"/>
    <x:cellStyle name="Moneda 4 3" xfId="164"/>
    <x:cellStyle name="Moneda 4 4" xfId="158"/>
    <x:cellStyle name="Normal" xfId="0"/>
    <x:cellStyle name="Normal 15" xfId="40"/>
    <x:cellStyle name="Normal 2" xfId="7"/>
    <x:cellStyle name="Normal 2 2" xfId="8"/>
    <x:cellStyle name="Normal 2 3" xfId="15"/>
    <x:cellStyle name="Normal 2 4" xfId="36"/>
    <x:cellStyle name="Normal 2 4 2" xfId="51"/>
    <x:cellStyle name="Normal 2 4 2 2" xfId="147"/>
    <x:cellStyle name="Normal 2 4 2 2 2" xfId="155"/>
    <x:cellStyle name="Normal 2 4 2 2 3" xfId="163"/>
    <x:cellStyle name="Normal 2 4 2 2 3 2" xfId="187"/>
    <x:cellStyle name="Normal 2 4 2 3" xfId="117"/>
    <x:cellStyle name="Normal 2 4 2 3 2" xfId="183"/>
    <x:cellStyle name="Normal 2 4 2 4" xfId="148"/>
    <x:cellStyle name="Normal 2 4 2 4 2" xfId="160"/>
    <x:cellStyle name="Normal 2 4 2 5" xfId="104"/>
    <x:cellStyle name="Normal 2 4 3" xfId="63"/>
    <x:cellStyle name="Normal 2 4 3 2" xfId="125"/>
    <x:cellStyle name="Normal 2 4 3 2 2" xfId="185"/>
    <x:cellStyle name="Normal 2 4 4" xfId="154"/>
    <x:cellStyle name="Normal 2 4 4 2" xfId="186"/>
    <x:cellStyle name="Normal 2 5" xfId="54"/>
    <x:cellStyle name="Normal 2 5 2" xfId="180"/>
    <x:cellStyle name="Normal 2 5 3" xfId="173"/>
    <x:cellStyle name="Normal 2 6" xfId="41"/>
    <x:cellStyle name="Normal 2 6 2" xfId="182"/>
    <x:cellStyle name="Normal 2 6 3" xfId="176"/>
    <x:cellStyle name="Normal 3" xfId="9"/>
    <x:cellStyle name="Normal 4" xfId="10"/>
    <x:cellStyle name="Normal 4 2" xfId="11"/>
    <x:cellStyle name="Normal 5" xfId="12"/>
    <x:cellStyle name="Normal 6" xfId="2"/>
    <x:cellStyle name="Normal 7" xfId="56"/>
    <x:cellStyle name="Porcentaje 2" xfId="42"/>
    <x:cellStyle name="Porcentaje 2 2" xfId="146"/>
    <x:cellStyle name="Porcentaje 2 2 2" xfId="181"/>
    <x:cellStyle name="Porcentaje 2 3" xfId="170"/>
    <x:cellStyle name="Porcentaje 3" xfId="15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84cf19d594591" /><Relationship Type="http://schemas.openxmlformats.org/officeDocument/2006/relationships/theme" Target="/xl/theme/theme1.xml" Id="R7c0cc250622d4ece" /><Relationship Type="http://schemas.openxmlformats.org/officeDocument/2006/relationships/sharedStrings" Target="/xl/sharedStrings.xml" Id="R1308ea500fc347c8" /><Relationship Type="http://schemas.openxmlformats.org/officeDocument/2006/relationships/worksheet" Target="/xl/worksheets/sheet1.xml" Id="Re1c0e326b5fb499f" /><Relationship Type="http://schemas.openxmlformats.org/officeDocument/2006/relationships/worksheet" Target="/xl/worksheets/sheet2.xml" Id="R141e8f2f37ed4ff6" /><Relationship Type="http://schemas.openxmlformats.org/officeDocument/2006/relationships/worksheet" Target="/xl/worksheets/sheet3.xml" Id="R656f7452980c40cc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4" max="4" width="50.5703125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10" t="s">
        <x:v>8</x:v>
      </x:c>
      <x:c r="J1" s="11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9" t="s">
        <x:v>14</x:v>
      </x:c>
    </x:row>
    <x:row r="2">
      <x:c r="A2" s="8" t="s">
        <x:v>15</x:v>
      </x:c>
      <x:c r="B2" s="8" t="s">
        <x:v>16</x:v>
      </x:c>
      <x:c r="C2" s="8" t="s">
        <x:v>17</x:v>
      </x:c>
      <x:c r="D2" s="8" t="s">
        <x:v>18</x:v>
      </x:c>
      <x:c r="E2" s="8" t="s">
        <x:v>19</x:v>
      </x:c>
      <x:c r="F2" s="8" t="s">
        <x:v>20</x:v>
      </x:c>
      <x:c r="G2" s="8" t="s">
        <x:v>21</x:v>
      </x:c>
      <x:c r="H2" s="8" t="s">
        <x:v>22</x:v>
      </x:c>
      <x:c r="I2" s="44">
        <x:v>21092.13</x:v>
      </x:c>
      <x:c r="J2" s="44">
        <x:v>2952.9</x:v>
      </x:c>
      <x:c r="K2" s="8" t="s">
        <x:v>23</x:v>
      </x:c>
      <x:c r="L2" s="44">
        <x:v>2657.61</x:v>
      </x:c>
      <x:c r="M2" s="44">
        <x:v>53.152200000000001</x:v>
      </x:c>
      <x:c r="N2" s="44">
        <x:v>2604.4578000000001</x:v>
      </x:c>
    </x:row>
    <x:row r="3">
      <x:c r="A3" s="8" t="s">
        <x:v>24</x:v>
      </x:c>
      <x:c r="B3" s="8" t="s">
        <x:v>25</x:v>
      </x:c>
      <x:c r="C3" s="8" t="s">
        <x:v>26</x:v>
      </x:c>
      <x:c r="D3" s="8" t="s">
        <x:v>27</x:v>
      </x:c>
      <x:c r="E3" s="8" t="s">
        <x:v>28</x:v>
      </x:c>
      <x:c r="F3" s="8" t="s">
        <x:v>20</x:v>
      </x:c>
      <x:c r="G3" s="8" t="s">
        <x:v>29</x:v>
      </x:c>
      <x:c r="H3" s="8" t="s">
        <x:v>22</x:v>
      </x:c>
      <x:c r="I3" s="44">
        <x:v>235320</x:v>
      </x:c>
      <x:c r="J3" s="44">
        <x:v>11766</x:v>
      </x:c>
      <x:c r="K3" s="8" t="s">
        <x:v>30</x:v>
      </x:c>
      <x:c r="L3" s="44">
        <x:v>10001.1</x:v>
      </x:c>
      <x:c r="M3" s="44">
        <x:v>200.02200000000002</x:v>
      </x:c>
      <x:c r="N3" s="44">
        <x:v>9801.0779999999995</x:v>
      </x:c>
    </x:row>
    <x:row r="4">
      <x:c r="A4" s="8" t="s">
        <x:v>24</x:v>
      </x:c>
      <x:c r="B4" s="8" t="s">
        <x:v>25</x:v>
      </x:c>
      <x:c r="C4" s="8" t="s">
        <x:v>31</x:v>
      </x:c>
      <x:c r="D4" s="8" t="s">
        <x:v>32</x:v>
      </x:c>
      <x:c r="E4" s="8" t="s">
        <x:v>28</x:v>
      </x:c>
      <x:c r="F4" s="8" t="s">
        <x:v>33</x:v>
      </x:c>
      <x:c r="G4" s="8" t="s">
        <x:v>21</x:v>
      </x:c>
      <x:c r="H4" s="8" t="s">
        <x:v>22</x:v>
      </x:c>
      <x:c r="I4" s="44">
        <x:v>26550</x:v>
      </x:c>
      <x:c r="J4" s="44">
        <x:v>3982</x:v>
      </x:c>
      <x:c r="K4" s="8" t="s">
        <x:v>30</x:v>
      </x:c>
      <x:c r="L4" s="44">
        <x:v>3384.7</x:v>
      </x:c>
      <x:c r="M4" s="44">
        <x:v>67.694000000000003</x:v>
      </x:c>
      <x:c r="N4" s="44">
        <x:v>3317.0059999999999</x:v>
      </x:c>
    </x:row>
    <x:row r="5">
      <x:c r="A5" s="8" t="s">
        <x:v>24</x:v>
      </x:c>
      <x:c r="B5" s="8" t="s">
        <x:v>25</x:v>
      </x:c>
      <x:c r="C5" s="8" t="s">
        <x:v>34</x:v>
      </x:c>
      <x:c r="D5" s="8" t="s">
        <x:v>35</x:v>
      </x:c>
      <x:c r="E5" s="8" t="s">
        <x:v>28</x:v>
      </x:c>
      <x:c r="F5" s="8" t="s">
        <x:v>33</x:v>
      </x:c>
      <x:c r="G5" s="8" t="s">
        <x:v>21</x:v>
      </x:c>
      <x:c r="H5" s="8" t="s">
        <x:v>22</x:v>
      </x:c>
      <x:c r="I5" s="44">
        <x:v>25711</x:v>
      </x:c>
      <x:c r="J5" s="44">
        <x:v>3852</x:v>
      </x:c>
      <x:c r="K5" s="8" t="s">
        <x:v>30</x:v>
      </x:c>
      <x:c r="L5" s="44">
        <x:v>3274.2</x:v>
      </x:c>
      <x:c r="M5" s="44">
        <x:v>65.483999999999995</x:v>
      </x:c>
      <x:c r="N5" s="44">
        <x:v>3208.7159999999999</x:v>
      </x:c>
    </x:row>
    <x:row r="6">
      <x:c r="A6" s="8" t="s">
        <x:v>24</x:v>
      </x:c>
      <x:c r="B6" s="8" t="s">
        <x:v>25</x:v>
      </x:c>
      <x:c r="C6" s="8" t="s">
        <x:v>36</x:v>
      </x:c>
      <x:c r="D6" s="8" t="s">
        <x:v>37</x:v>
      </x:c>
      <x:c r="E6" s="8" t="s">
        <x:v>28</x:v>
      </x:c>
      <x:c r="F6" s="8" t="s">
        <x:v>20</x:v>
      </x:c>
      <x:c r="G6" s="8" t="s">
        <x:v>21</x:v>
      </x:c>
      <x:c r="H6" s="8" t="s">
        <x:v>22</x:v>
      </x:c>
      <x:c r="I6" s="44">
        <x:v>193285</x:v>
      </x:c>
      <x:c r="J6" s="44">
        <x:v>28992</x:v>
      </x:c>
      <x:c r="K6" s="8" t="s">
        <x:v>30</x:v>
      </x:c>
      <x:c r="L6" s="44">
        <x:v>24643.200000000001</x:v>
      </x:c>
      <x:c r="M6" s="44">
        <x:v>492.86400000000003</x:v>
      </x:c>
      <x:c r="N6" s="44">
        <x:v>24150.335999999999</x:v>
      </x:c>
    </x:row>
    <x:row r="7">
      <x:c r="A7" s="8" t="s">
        <x:v>24</x:v>
      </x:c>
      <x:c r="B7" s="8" t="s">
        <x:v>25</x:v>
      </x:c>
      <x:c r="C7" s="8" t="s">
        <x:v>38</x:v>
      </x:c>
      <x:c r="D7" s="8" t="s">
        <x:v>39</x:v>
      </x:c>
      <x:c r="E7" s="8" t="s">
        <x:v>28</x:v>
      </x:c>
      <x:c r="F7" s="8" t="s">
        <x:v>20</x:v>
      </x:c>
      <x:c r="G7" s="8" t="s">
        <x:v>21</x:v>
      </x:c>
      <x:c r="H7" s="8" t="s">
        <x:v>22</x:v>
      </x:c>
      <x:c r="I7" s="44">
        <x:v>159848</x:v>
      </x:c>
      <x:c r="J7" s="44">
        <x:v>23977</x:v>
      </x:c>
      <x:c r="K7" s="8" t="s">
        <x:v>30</x:v>
      </x:c>
      <x:c r="L7" s="44">
        <x:v>20380.45</x:v>
      </x:c>
      <x:c r="M7" s="44">
        <x:v>407.60900000000004</x:v>
      </x:c>
      <x:c r="N7" s="44">
        <x:v>19972.841</x:v>
      </x:c>
    </x:row>
    <x:row r="8">
      <x:c r="A8" s="8" t="s">
        <x:v>24</x:v>
      </x:c>
      <x:c r="B8" s="8" t="s">
        <x:v>25</x:v>
      </x:c>
      <x:c r="C8" s="8" t="s">
        <x:v>40</x:v>
      </x:c>
      <x:c r="D8" s="8" t="s">
        <x:v>41</x:v>
      </x:c>
      <x:c r="E8" s="8" t="s">
        <x:v>28</x:v>
      </x:c>
      <x:c r="F8" s="8" t="s">
        <x:v>20</x:v>
      </x:c>
      <x:c r="G8" s="8" t="s">
        <x:v>21</x:v>
      </x:c>
      <x:c r="H8" s="8" t="s">
        <x:v>22</x:v>
      </x:c>
      <x:c r="I8" s="44">
        <x:v>50937</x:v>
      </x:c>
      <x:c r="J8" s="44">
        <x:v>7640</x:v>
      </x:c>
      <x:c r="K8" s="8" t="s">
        <x:v>30</x:v>
      </x:c>
      <x:c r="L8" s="44">
        <x:v>6494</x:v>
      </x:c>
      <x:c r="M8" s="44">
        <x:v>129.88</x:v>
      </x:c>
      <x:c r="N8" s="44">
        <x:v>6364.12</x:v>
      </x:c>
    </x:row>
    <x:row r="9">
      <x:c r="A9" s="8" t="s">
        <x:v>24</x:v>
      </x:c>
      <x:c r="B9" s="8" t="s">
        <x:v>25</x:v>
      </x:c>
      <x:c r="C9" s="8" t="s">
        <x:v>42</x:v>
      </x:c>
      <x:c r="D9" s="8" t="s">
        <x:v>43</x:v>
      </x:c>
      <x:c r="E9" s="8" t="s">
        <x:v>28</x:v>
      </x:c>
      <x:c r="F9" s="8" t="s">
        <x:v>33</x:v>
      </x:c>
      <x:c r="G9" s="8" t="s">
        <x:v>21</x:v>
      </x:c>
      <x:c r="H9" s="8" t="s">
        <x:v>22</x:v>
      </x:c>
      <x:c r="I9" s="44">
        <x:v>15551</x:v>
      </x:c>
      <x:c r="J9" s="44">
        <x:v>2333</x:v>
      </x:c>
      <x:c r="K9" s="8" t="s">
        <x:v>30</x:v>
      </x:c>
      <x:c r="L9" s="44">
        <x:v>1983.05</x:v>
      </x:c>
      <x:c r="M9" s="44">
        <x:v>39.661000000000001</x:v>
      </x:c>
      <x:c r="N9" s="44">
        <x:v>1943.3889999999999</x:v>
      </x:c>
    </x:row>
    <x:row r="10">
      <x:c r="A10" s="8" t="s">
        <x:v>24</x:v>
      </x:c>
      <x:c r="B10" s="8" t="s">
        <x:v>25</x:v>
      </x:c>
      <x:c r="C10" s="8" t="s">
        <x:v>44</x:v>
      </x:c>
      <x:c r="D10" s="8" t="s">
        <x:v>45</x:v>
      </x:c>
      <x:c r="E10" s="8" t="s">
        <x:v>28</x:v>
      </x:c>
      <x:c r="F10" s="8" t="s">
        <x:v>33</x:v>
      </x:c>
      <x:c r="G10" s="8" t="s">
        <x:v>21</x:v>
      </x:c>
      <x:c r="H10" s="8" t="s">
        <x:v>22</x:v>
      </x:c>
      <x:c r="I10" s="44">
        <x:v>53672</x:v>
      </x:c>
      <x:c r="J10" s="44">
        <x:v>8050</x:v>
      </x:c>
      <x:c r="K10" s="8" t="s">
        <x:v>30</x:v>
      </x:c>
      <x:c r="L10" s="44">
        <x:v>6842.5</x:v>
      </x:c>
      <x:c r="M10" s="44">
        <x:v>136.85</x:v>
      </x:c>
      <x:c r="N10" s="44">
        <x:v>6705.65</x:v>
      </x:c>
    </x:row>
    <x:row r="11">
      <x:c r="A11" s="8" t="s">
        <x:v>24</x:v>
      </x:c>
      <x:c r="B11" s="8" t="s">
        <x:v>25</x:v>
      </x:c>
      <x:c r="C11" s="8" t="s">
        <x:v>46</x:v>
      </x:c>
      <x:c r="D11" s="8" t="s">
        <x:v>47</x:v>
      </x:c>
      <x:c r="E11" s="8" t="s">
        <x:v>28</x:v>
      </x:c>
      <x:c r="F11" s="8" t="s">
        <x:v>33</x:v>
      </x:c>
      <x:c r="G11" s="8" t="s">
        <x:v>21</x:v>
      </x:c>
      <x:c r="H11" s="8" t="s">
        <x:v>22</x:v>
      </x:c>
      <x:c r="I11" s="44">
        <x:v>8840</x:v>
      </x:c>
      <x:c r="J11" s="44">
        <x:v>1856</x:v>
      </x:c>
      <x:c r="K11" s="8" t="s">
        <x:v>30</x:v>
      </x:c>
      <x:c r="L11" s="44">
        <x:v>1577.6</x:v>
      </x:c>
      <x:c r="M11" s="44">
        <x:v>31.552</x:v>
      </x:c>
      <x:c r="N11" s="44">
        <x:v>1546.048</x:v>
      </x:c>
    </x:row>
    <x:row r="12">
      <x:c r="A12" s="8" t="s">
        <x:v>24</x:v>
      </x:c>
      <x:c r="B12" s="8" t="s">
        <x:v>25</x:v>
      </x:c>
      <x:c r="C12" s="8" t="s">
        <x:v>40</x:v>
      </x:c>
      <x:c r="D12" s="8" t="s">
        <x:v>41</x:v>
      </x:c>
      <x:c r="E12" s="8" t="s">
        <x:v>28</x:v>
      </x:c>
      <x:c r="F12" s="8" t="s">
        <x:v>20</x:v>
      </x:c>
      <x:c r="G12" s="8" t="s">
        <x:v>21</x:v>
      </x:c>
      <x:c r="H12" s="8" t="s">
        <x:v>22</x:v>
      </x:c>
      <x:c r="I12" s="44">
        <x:v>-8818</x:v>
      </x:c>
      <x:c r="J12" s="44">
        <x:v>-1323</x:v>
      </x:c>
      <x:c r="K12" s="8" t="s">
        <x:v>30</x:v>
      </x:c>
      <x:c r="L12" s="44">
        <x:v>-1124.55</x:v>
      </x:c>
      <x:c r="M12" s="44">
        <x:v>-22.491</x:v>
      </x:c>
      <x:c r="N12" s="44">
        <x:v>-1102.059</x:v>
      </x:c>
    </x:row>
    <x:row r="13">
      <x:c r="A13" s="8" t="s">
        <x:v>24</x:v>
      </x:c>
      <x:c r="B13" s="8" t="s">
        <x:v>25</x:v>
      </x:c>
      <x:c r="C13" s="8" t="s">
        <x:v>48</x:v>
      </x:c>
      <x:c r="D13" s="8" t="s">
        <x:v>49</x:v>
      </x:c>
      <x:c r="E13" s="8" t="s">
        <x:v>50</x:v>
      </x:c>
      <x:c r="F13" s="8" t="s">
        <x:v>20</x:v>
      </x:c>
      <x:c r="G13" s="8" t="s">
        <x:v>21</x:v>
      </x:c>
      <x:c r="H13" s="8" t="s">
        <x:v>22</x:v>
      </x:c>
      <x:c r="I13" s="44">
        <x:v>14789</x:v>
      </x:c>
      <x:c r="J13" s="44">
        <x:v>2070.46</x:v>
      </x:c>
      <x:c r="K13" s="8" t="s">
        <x:v>30</x:v>
      </x:c>
      <x:c r="L13" s="44">
        <x:v>1759.8910000000001</x:v>
      </x:c>
      <x:c r="M13" s="44">
        <x:v>35.19782</x:v>
      </x:c>
      <x:c r="N13" s="44">
        <x:v>1724.69318</x:v>
      </x:c>
    </x:row>
    <x:row r="14">
      <x:c r="A14" s="8" t="s">
        <x:v>24</x:v>
      </x:c>
      <x:c r="B14" s="8" t="s">
        <x:v>25</x:v>
      </x:c>
      <x:c r="C14" s="8" t="s">
        <x:v>51</x:v>
      </x:c>
      <x:c r="D14" s="8" t="s">
        <x:v>52</x:v>
      </x:c>
      <x:c r="E14" s="8" t="s">
        <x:v>50</x:v>
      </x:c>
      <x:c r="F14" s="8" t="s">
        <x:v>20</x:v>
      </x:c>
      <x:c r="G14" s="8" t="s">
        <x:v>21</x:v>
      </x:c>
      <x:c r="H14" s="8" t="s">
        <x:v>22</x:v>
      </x:c>
      <x:c r="I14" s="44">
        <x:v>143128.47</x:v>
      </x:c>
      <x:c r="J14" s="44">
        <x:v>20037.98</x:v>
      </x:c>
      <x:c r="K14" s="8" t="s">
        <x:v>30</x:v>
      </x:c>
      <x:c r="L14" s="44">
        <x:v>17032.282999999999</x:v>
      </x:c>
      <x:c r="M14" s="44">
        <x:v>340.64566000000002</x:v>
      </x:c>
      <x:c r="N14" s="44">
        <x:v>16691.637340000001</x:v>
      </x:c>
    </x:row>
    <x:row r="15">
      <x:c r="A15" s="8" t="s">
        <x:v>24</x:v>
      </x:c>
      <x:c r="B15" s="8" t="s">
        <x:v>25</x:v>
      </x:c>
      <x:c r="C15" s="8" t="s">
        <x:v>53</x:v>
      </x:c>
      <x:c r="D15" s="8" t="s">
        <x:v>54</x:v>
      </x:c>
      <x:c r="E15" s="8" t="s">
        <x:v>50</x:v>
      </x:c>
      <x:c r="F15" s="8" t="s">
        <x:v>20</x:v>
      </x:c>
      <x:c r="G15" s="8" t="s">
        <x:v>21</x:v>
      </x:c>
      <x:c r="H15" s="8" t="s">
        <x:v>22</x:v>
      </x:c>
      <x:c r="I15" s="44">
        <x:v>79171.67</x:v>
      </x:c>
      <x:c r="J15" s="44">
        <x:v>11084.03</x:v>
      </x:c>
      <x:c r="K15" s="8" t="s">
        <x:v>30</x:v>
      </x:c>
      <x:c r="L15" s="44">
        <x:v>9421.4255000000012</x:v>
      </x:c>
      <x:c r="M15" s="44">
        <x:v>188.42851000000002</x:v>
      </x:c>
      <x:c r="N15" s="44">
        <x:v>9232.9969900000015</x:v>
      </x:c>
    </x:row>
    <x:row r="16">
      <x:c r="A16" s="8" t="s">
        <x:v>24</x:v>
      </x:c>
      <x:c r="B16" s="8" t="s">
        <x:v>25</x:v>
      </x:c>
      <x:c r="C16" s="8" t="s">
        <x:v>55</x:v>
      </x:c>
      <x:c r="D16" s="8" t="s">
        <x:v>56</x:v>
      </x:c>
      <x:c r="E16" s="8" t="s">
        <x:v>57</x:v>
      </x:c>
      <x:c r="F16" s="8" t="s">
        <x:v>58</x:v>
      </x:c>
      <x:c r="G16" s="8" t="s">
        <x:v>21</x:v>
      </x:c>
      <x:c r="H16" s="8" t="s">
        <x:v>22</x:v>
      </x:c>
      <x:c r="I16" s="44">
        <x:v>22425.09</x:v>
      </x:c>
      <x:c r="J16" s="44">
        <x:v>3363.76</x:v>
      </x:c>
      <x:c r="K16" s="8" t="s">
        <x:v>30</x:v>
      </x:c>
      <x:c r="L16" s="44">
        <x:v>2859.1959999999999</x:v>
      </x:c>
      <x:c r="M16" s="44">
        <x:v>57.183920000000001</x:v>
      </x:c>
      <x:c r="N16" s="44">
        <x:v>2802.01208</x:v>
      </x:c>
    </x:row>
    <x:row r="17">
      <x:c r="A17" s="8" t="s">
        <x:v>24</x:v>
      </x:c>
      <x:c r="B17" s="8" t="s">
        <x:v>25</x:v>
      </x:c>
      <x:c r="C17" s="8" t="s">
        <x:v>59</x:v>
      </x:c>
      <x:c r="D17" s="8" t="s">
        <x:v>60</x:v>
      </x:c>
      <x:c r="E17" s="8" t="s">
        <x:v>57</x:v>
      </x:c>
      <x:c r="F17" s="8" t="s">
        <x:v>20</x:v>
      </x:c>
      <x:c r="G17" s="8" t="s">
        <x:v>21</x:v>
      </x:c>
      <x:c r="H17" s="8" t="s">
        <x:v>22</x:v>
      </x:c>
      <x:c r="I17" s="44">
        <x:v>78744.850000000006</x:v>
      </x:c>
      <x:c r="J17" s="44">
        <x:v>11811.72</x:v>
      </x:c>
      <x:c r="K17" s="8" t="s">
        <x:v>30</x:v>
      </x:c>
      <x:c r="L17" s="44">
        <x:v>10039.962</x:v>
      </x:c>
      <x:c r="M17" s="44">
        <x:v>200.79924</x:v>
      </x:c>
      <x:c r="N17" s="44">
        <x:v>9839.1627599999993</x:v>
      </x:c>
    </x:row>
    <x:row r="18">
      <x:c r="A18" s="8" t="s">
        <x:v>24</x:v>
      </x:c>
      <x:c r="B18" s="8" t="s">
        <x:v>25</x:v>
      </x:c>
      <x:c r="C18" s="8" t="s">
        <x:v>61</x:v>
      </x:c>
      <x:c r="D18" s="8" t="s">
        <x:v>62</x:v>
      </x:c>
      <x:c r="E18" s="8" t="s">
        <x:v>57</x:v>
      </x:c>
      <x:c r="F18" s="8" t="s">
        <x:v>20</x:v>
      </x:c>
      <x:c r="G18" s="8" t="s">
        <x:v>21</x:v>
      </x:c>
      <x:c r="H18" s="8" t="s">
        <x:v>22</x:v>
      </x:c>
      <x:c r="I18" s="44">
        <x:v>16631.490000000002</x:v>
      </x:c>
      <x:c r="J18" s="44">
        <x:v>2494.7199999999998</x:v>
      </x:c>
      <x:c r="K18" s="8" t="s">
        <x:v>30</x:v>
      </x:c>
      <x:c r="L18" s="44">
        <x:v>2120.5119999999997</x:v>
      </x:c>
      <x:c r="M18" s="44">
        <x:v>42.410239999999995</x:v>
      </x:c>
      <x:c r="N18" s="44">
        <x:v>2078.1017599999996</x:v>
      </x:c>
    </x:row>
    <x:row r="19">
      <x:c r="A19" s="8" t="s">
        <x:v>24</x:v>
      </x:c>
      <x:c r="B19" s="8" t="s">
        <x:v>25</x:v>
      </x:c>
      <x:c r="C19" s="8" t="s">
        <x:v>63</x:v>
      </x:c>
      <x:c r="D19" s="8" t="s">
        <x:v>64</x:v>
      </x:c>
      <x:c r="E19" s="8" t="s">
        <x:v>57</x:v>
      </x:c>
      <x:c r="F19" s="8" t="s">
        <x:v>20</x:v>
      </x:c>
      <x:c r="G19" s="8" t="s">
        <x:v>21</x:v>
      </x:c>
      <x:c r="H19" s="8" t="s">
        <x:v>22</x:v>
      </x:c>
      <x:c r="I19" s="44">
        <x:v>13416.04</x:v>
      </x:c>
      <x:c r="J19" s="44">
        <x:v>2012.41</x:v>
      </x:c>
      <x:c r="K19" s="8" t="s">
        <x:v>30</x:v>
      </x:c>
      <x:c r="L19" s="44">
        <x:v>1710.5485000000001</x:v>
      </x:c>
      <x:c r="M19" s="44">
        <x:v>34.210970000000003</x:v>
      </x:c>
      <x:c r="N19" s="44">
        <x:v>1676.33753</x:v>
      </x:c>
    </x:row>
    <x:row r="20">
      <x:c r="A20" s="8" t="s">
        <x:v>24</x:v>
      </x:c>
      <x:c r="B20" s="8" t="s">
        <x:v>25</x:v>
      </x:c>
      <x:c r="C20" s="8" t="s">
        <x:v>65</x:v>
      </x:c>
      <x:c r="D20" s="8" t="s">
        <x:v>66</x:v>
      </x:c>
      <x:c r="E20" s="8" t="s">
        <x:v>57</x:v>
      </x:c>
      <x:c r="F20" s="8" t="s">
        <x:v>20</x:v>
      </x:c>
      <x:c r="G20" s="8" t="s">
        <x:v>21</x:v>
      </x:c>
      <x:c r="H20" s="8" t="s">
        <x:v>22</x:v>
      </x:c>
      <x:c r="I20" s="44">
        <x:v>86081.81</x:v>
      </x:c>
      <x:c r="J20" s="44">
        <x:v>12912.27</x:v>
      </x:c>
      <x:c r="K20" s="8" t="s">
        <x:v>30</x:v>
      </x:c>
      <x:c r="L20" s="44">
        <x:v>10975.4295</x:v>
      </x:c>
      <x:c r="M20" s="44">
        <x:v>219.50859</x:v>
      </x:c>
      <x:c r="N20" s="44">
        <x:v>10755.920910000001</x:v>
      </x:c>
    </x:row>
    <x:row r="21">
      <x:c r="A21" s="8" t="s">
        <x:v>24</x:v>
      </x:c>
      <x:c r="B21" s="8" t="s">
        <x:v>25</x:v>
      </x:c>
      <x:c r="C21" s="8" t="s">
        <x:v>67</x:v>
      </x:c>
      <x:c r="D21" s="8" t="s">
        <x:v>68</x:v>
      </x:c>
      <x:c r="E21" s="8" t="s">
        <x:v>57</x:v>
      </x:c>
      <x:c r="F21" s="8" t="s">
        <x:v>20</x:v>
      </x:c>
      <x:c r="G21" s="8" t="s">
        <x:v>21</x:v>
      </x:c>
      <x:c r="H21" s="8" t="s">
        <x:v>22</x:v>
      </x:c>
      <x:c r="I21" s="44">
        <x:v>46186.84</x:v>
      </x:c>
      <x:c r="J21" s="44">
        <x:v>6928.03</x:v>
      </x:c>
      <x:c r="K21" s="8" t="s">
        <x:v>30</x:v>
      </x:c>
      <x:c r="L21" s="44">
        <x:v>5888.8254999999999</x:v>
      </x:c>
      <x:c r="M21" s="44">
        <x:v>117.77651</x:v>
      </x:c>
      <x:c r="N21" s="44">
        <x:v>5771.0489900000002</x:v>
      </x:c>
    </x:row>
    <x:row r="22">
      <x:c r="A22" s="8" t="s">
        <x:v>24</x:v>
      </x:c>
      <x:c r="B22" s="8" t="s">
        <x:v>25</x:v>
      </x:c>
      <x:c r="C22" s="8" t="s">
        <x:v>69</x:v>
      </x:c>
      <x:c r="D22" s="8" t="s">
        <x:v>70</x:v>
      </x:c>
      <x:c r="E22" s="8" t="s">
        <x:v>19</x:v>
      </x:c>
      <x:c r="F22" s="8" t="s">
        <x:v>20</x:v>
      </x:c>
      <x:c r="G22" s="8" t="s">
        <x:v>21</x:v>
      </x:c>
      <x:c r="H22" s="8" t="s">
        <x:v>22</x:v>
      </x:c>
      <x:c r="I22" s="44">
        <x:v>20932.34</x:v>
      </x:c>
      <x:c r="J22" s="44">
        <x:v>2930.53</x:v>
      </x:c>
      <x:c r="K22" s="8" t="s">
        <x:v>30</x:v>
      </x:c>
      <x:c r="L22" s="44">
        <x:v>2490.9504999999999</x:v>
      </x:c>
      <x:c r="M22" s="44">
        <x:v>49.819009999999999</x:v>
      </x:c>
      <x:c r="N22" s="44">
        <x:v>2441.1314899999998</x:v>
      </x:c>
    </x:row>
    <x:row r="23">
      <x:c r="A23" s="8" t="s">
        <x:v>24</x:v>
      </x:c>
      <x:c r="B23" s="8" t="s">
        <x:v>25</x:v>
      </x:c>
      <x:c r="C23" s="8" t="s">
        <x:v>71</x:v>
      </x:c>
      <x:c r="D23" s="8" t="s">
        <x:v>72</x:v>
      </x:c>
      <x:c r="E23" s="8" t="s">
        <x:v>19</x:v>
      </x:c>
      <x:c r="F23" s="8" t="s">
        <x:v>20</x:v>
      </x:c>
      <x:c r="G23" s="8" t="s">
        <x:v>21</x:v>
      </x:c>
      <x:c r="H23" s="8" t="s">
        <x:v>22</x:v>
      </x:c>
      <x:c r="I23" s="44">
        <x:v>141096.13</x:v>
      </x:c>
      <x:c r="J23" s="44">
        <x:v>19753.46</x:v>
      </x:c>
      <x:c r="K23" s="8" t="s">
        <x:v>30</x:v>
      </x:c>
      <x:c r="L23" s="44">
        <x:v>16790.440999999999</x:v>
      </x:c>
      <x:c r="M23" s="44">
        <x:v>335.80881999999997</x:v>
      </x:c>
      <x:c r="N23" s="44">
        <x:v>16454.632180000001</x:v>
      </x:c>
    </x:row>
    <x:row r="24">
      <x:c r="A24" s="8" t="s">
        <x:v>24</x:v>
      </x:c>
      <x:c r="B24" s="8" t="s">
        <x:v>25</x:v>
      </x:c>
      <x:c r="C24" s="8" t="s">
        <x:v>73</x:v>
      </x:c>
      <x:c r="D24" s="8" t="s">
        <x:v>74</x:v>
      </x:c>
      <x:c r="E24" s="8" t="s">
        <x:v>19</x:v>
      </x:c>
      <x:c r="F24" s="8" t="s">
        <x:v>20</x:v>
      </x:c>
      <x:c r="G24" s="8" t="s">
        <x:v>21</x:v>
      </x:c>
      <x:c r="H24" s="8" t="s">
        <x:v>22</x:v>
      </x:c>
      <x:c r="I24" s="44">
        <x:v>20009.39</x:v>
      </x:c>
      <x:c r="J24" s="44">
        <x:v>2801.31</x:v>
      </x:c>
      <x:c r="K24" s="8" t="s">
        <x:v>30</x:v>
      </x:c>
      <x:c r="L24" s="44">
        <x:v>2381.1134999999999</x:v>
      </x:c>
      <x:c r="M24" s="44">
        <x:v>47.62227</x:v>
      </x:c>
      <x:c r="N24" s="44">
        <x:v>2333.4912300000001</x:v>
      </x:c>
    </x:row>
    <x:row r="25">
      <x:c r="A25" s="8" t="s">
        <x:v>24</x:v>
      </x:c>
      <x:c r="B25" s="8" t="s">
        <x:v>25</x:v>
      </x:c>
      <x:c r="C25" s="8" t="s">
        <x:v>73</x:v>
      </x:c>
      <x:c r="D25" s="8" t="s">
        <x:v>74</x:v>
      </x:c>
      <x:c r="E25" s="8" t="s">
        <x:v>19</x:v>
      </x:c>
      <x:c r="F25" s="8" t="s">
        <x:v>20</x:v>
      </x:c>
      <x:c r="G25" s="8" t="s">
        <x:v>21</x:v>
      </x:c>
      <x:c r="H25" s="8" t="s">
        <x:v>22</x:v>
      </x:c>
      <x:c r="I25" s="44">
        <x:v>20009.39</x:v>
      </x:c>
      <x:c r="J25" s="44">
        <x:v>2801.31</x:v>
      </x:c>
      <x:c r="K25" s="8" t="s">
        <x:v>30</x:v>
      </x:c>
      <x:c r="L25" s="44">
        <x:v>2381.1134999999999</x:v>
      </x:c>
      <x:c r="M25" s="44">
        <x:v>47.62227</x:v>
      </x:c>
      <x:c r="N25" s="44">
        <x:v>2333.4912300000001</x:v>
      </x:c>
    </x:row>
    <x:row r="26">
      <x:c r="A26" s="8" t="s">
        <x:v>24</x:v>
      </x:c>
      <x:c r="B26" s="8" t="s">
        <x:v>25</x:v>
      </x:c>
      <x:c r="C26" s="8" t="s">
        <x:v>75</x:v>
      </x:c>
      <x:c r="D26" s="8" t="s">
        <x:v>76</x:v>
      </x:c>
      <x:c r="E26" s="8" t="s">
        <x:v>19</x:v>
      </x:c>
      <x:c r="F26" s="8" t="s">
        <x:v>20</x:v>
      </x:c>
      <x:c r="G26" s="8" t="s">
        <x:v>21</x:v>
      </x:c>
      <x:c r="H26" s="8" t="s">
        <x:v>22</x:v>
      </x:c>
      <x:c r="I26" s="44">
        <x:v>80527.039999999994</x:v>
      </x:c>
      <x:c r="J26" s="44">
        <x:v>11273.78</x:v>
      </x:c>
      <x:c r="K26" s="8" t="s">
        <x:v>30</x:v>
      </x:c>
      <x:c r="L26" s="44">
        <x:v>9582.7129999999997</x:v>
      </x:c>
      <x:c r="M26" s="44">
        <x:v>191.65425999999999</x:v>
      </x:c>
      <x:c r="N26" s="44">
        <x:v>9391.0587400000004</x:v>
      </x:c>
    </x:row>
    <x:row r="27">
      <x:c r="A27" s="8" t="s">
        <x:v>24</x:v>
      </x:c>
      <x:c r="B27" s="8" t="s">
        <x:v>25</x:v>
      </x:c>
      <x:c r="C27" s="8" t="s">
        <x:v>77</x:v>
      </x:c>
      <x:c r="D27" s="8" t="s">
        <x:v>78</x:v>
      </x:c>
      <x:c r="E27" s="8" t="s">
        <x:v>19</x:v>
      </x:c>
      <x:c r="F27" s="8" t="s">
        <x:v>20</x:v>
      </x:c>
      <x:c r="G27" s="8" t="s">
        <x:v>21</x:v>
      </x:c>
      <x:c r="H27" s="8" t="s">
        <x:v>22</x:v>
      </x:c>
      <x:c r="I27" s="44">
        <x:v>229227.21</x:v>
      </x:c>
      <x:c r="J27" s="44">
        <x:v>34384.080000000002</x:v>
      </x:c>
      <x:c r="K27" s="8" t="s">
        <x:v>30</x:v>
      </x:c>
      <x:c r="L27" s="44">
        <x:v>29226.468000000001</x:v>
      </x:c>
      <x:c r="M27" s="44">
        <x:v>584.52936</x:v>
      </x:c>
      <x:c r="N27" s="44">
        <x:v>28641.93864</x:v>
      </x:c>
    </x:row>
    <x:row r="28">
      <x:c r="A28" s="8" t="s">
        <x:v>24</x:v>
      </x:c>
      <x:c r="B28" s="8" t="s">
        <x:v>25</x:v>
      </x:c>
      <x:c r="C28" s="8" t="s">
        <x:v>79</x:v>
      </x:c>
      <x:c r="D28" s="8" t="s">
        <x:v>80</x:v>
      </x:c>
      <x:c r="E28" s="8" t="s">
        <x:v>19</x:v>
      </x:c>
      <x:c r="F28" s="8" t="s">
        <x:v>33</x:v>
      </x:c>
      <x:c r="G28" s="8" t="s">
        <x:v>21</x:v>
      </x:c>
      <x:c r="H28" s="8" t="s">
        <x:v>22</x:v>
      </x:c>
      <x:c r="I28" s="44">
        <x:v>27256.81</x:v>
      </x:c>
      <x:c r="J28" s="44">
        <x:v>3815.96</x:v>
      </x:c>
      <x:c r="K28" s="8" t="s">
        <x:v>30</x:v>
      </x:c>
      <x:c r="L28" s="44">
        <x:v>3243.5659999999998</x:v>
      </x:c>
      <x:c r="M28" s="44">
        <x:v>64.871319999999997</x:v>
      </x:c>
      <x:c r="N28" s="44">
        <x:v>3178.6946799999996</x:v>
      </x:c>
    </x:row>
    <x:row r="29">
      <x:c r="A29" s="8" t="s">
        <x:v>24</x:v>
      </x:c>
      <x:c r="B29" s="8" t="s">
        <x:v>25</x:v>
      </x:c>
      <x:c r="C29" s="8" t="s">
        <x:v>81</x:v>
      </x:c>
      <x:c r="D29" s="8" t="s">
        <x:v>82</x:v>
      </x:c>
      <x:c r="E29" s="8" t="s">
        <x:v>19</x:v>
      </x:c>
      <x:c r="F29" s="8" t="s">
        <x:v>20</x:v>
      </x:c>
      <x:c r="G29" s="8" t="s">
        <x:v>21</x:v>
      </x:c>
      <x:c r="H29" s="8" t="s">
        <x:v>22</x:v>
      </x:c>
      <x:c r="I29" s="44">
        <x:v>30188.98</x:v>
      </x:c>
      <x:c r="J29" s="44">
        <x:v>4226.46</x:v>
      </x:c>
      <x:c r="K29" s="8" t="s">
        <x:v>30</x:v>
      </x:c>
      <x:c r="L29" s="44">
        <x:v>3592.491</x:v>
      </x:c>
      <x:c r="M29" s="44">
        <x:v>71.849820000000008</x:v>
      </x:c>
      <x:c r="N29" s="44">
        <x:v>3520.6411800000001</x:v>
      </x:c>
    </x:row>
    <x:row r="30">
      <x:c r="A30" s="8" t="s">
        <x:v>24</x:v>
      </x:c>
      <x:c r="B30" s="8" t="s">
        <x:v>25</x:v>
      </x:c>
      <x:c r="C30" s="8" t="s">
        <x:v>83</x:v>
      </x:c>
      <x:c r="D30" s="8" t="s">
        <x:v>84</x:v>
      </x:c>
      <x:c r="E30" s="8" t="s">
        <x:v>85</x:v>
      </x:c>
      <x:c r="F30" s="8" t="s">
        <x:v>20</x:v>
      </x:c>
      <x:c r="G30" s="8" t="s">
        <x:v>21</x:v>
      </x:c>
      <x:c r="H30" s="8" t="s">
        <x:v>22</x:v>
      </x:c>
      <x:c r="I30" s="44">
        <x:v>70183.38</x:v>
      </x:c>
      <x:c r="J30" s="44">
        <x:v>9123.84</x:v>
      </x:c>
      <x:c r="K30" s="8" t="s">
        <x:v>30</x:v>
      </x:c>
      <x:c r="L30" s="44">
        <x:v>7755.2640000000001</x:v>
      </x:c>
      <x:c r="M30" s="44">
        <x:v>155.10527999999999</x:v>
      </x:c>
      <x:c r="N30" s="44">
        <x:v>7600.1587200000004</x:v>
      </x:c>
    </x:row>
    <x:row r="31">
      <x:c r="A31" s="8" t="s">
        <x:v>24</x:v>
      </x:c>
      <x:c r="B31" s="8" t="s">
        <x:v>25</x:v>
      </x:c>
      <x:c r="C31" s="8" t="s">
        <x:v>83</x:v>
      </x:c>
      <x:c r="D31" s="8" t="s">
        <x:v>86</x:v>
      </x:c>
      <x:c r="E31" s="8" t="s">
        <x:v>85</x:v>
      </x:c>
      <x:c r="F31" s="8" t="s">
        <x:v>20</x:v>
      </x:c>
      <x:c r="G31" s="8" t="s">
        <x:v>21</x:v>
      </x:c>
      <x:c r="H31" s="8" t="s">
        <x:v>22</x:v>
      </x:c>
      <x:c r="I31" s="44">
        <x:v>5614.67</x:v>
      </x:c>
      <x:c r="J31" s="44">
        <x:v>729.91</x:v>
      </x:c>
      <x:c r="K31" s="8" t="s">
        <x:v>30</x:v>
      </x:c>
      <x:c r="L31" s="44">
        <x:v>620.42349999999999</x:v>
      </x:c>
      <x:c r="M31" s="44">
        <x:v>12.408469999999999</x:v>
      </x:c>
      <x:c r="N31" s="44">
        <x:v>608.01503000000002</x:v>
      </x:c>
    </x:row>
    <x:row r="32">
      <x:c r="A32" s="8" t="s">
        <x:v>24</x:v>
      </x:c>
      <x:c r="B32" s="8" t="s">
        <x:v>25</x:v>
      </x:c>
      <x:c r="C32" s="8" t="s">
        <x:v>87</x:v>
      </x:c>
      <x:c r="D32" s="8" t="s">
        <x:v>88</x:v>
      </x:c>
      <x:c r="E32" s="8" t="s">
        <x:v>85</x:v>
      </x:c>
      <x:c r="F32" s="8" t="s">
        <x:v>20</x:v>
      </x:c>
      <x:c r="G32" s="8" t="s">
        <x:v>21</x:v>
      </x:c>
      <x:c r="H32" s="8" t="s">
        <x:v>22</x:v>
      </x:c>
      <x:c r="I32" s="44">
        <x:v>19328.53</x:v>
      </x:c>
      <x:c r="J32" s="44">
        <x:v>2512.71</x:v>
      </x:c>
      <x:c r="K32" s="8" t="s">
        <x:v>30</x:v>
      </x:c>
      <x:c r="L32" s="44">
        <x:v>2135.8035</x:v>
      </x:c>
      <x:c r="M32" s="44">
        <x:v>42.716070000000002</x:v>
      </x:c>
      <x:c r="N32" s="44">
        <x:v>2093.08743</x:v>
      </x:c>
    </x:row>
    <x:row r="33">
      <x:c r="A33" s="8" t="s">
        <x:v>24</x:v>
      </x:c>
      <x:c r="B33" s="8" t="s">
        <x:v>25</x:v>
      </x:c>
      <x:c r="C33" s="8" t="s">
        <x:v>87</x:v>
      </x:c>
      <x:c r="D33" s="8" t="s">
        <x:v>86</x:v>
      </x:c>
      <x:c r="E33" s="8" t="s">
        <x:v>85</x:v>
      </x:c>
      <x:c r="F33" s="8" t="s">
        <x:v>20</x:v>
      </x:c>
      <x:c r="G33" s="8" t="s">
        <x:v>21</x:v>
      </x:c>
      <x:c r="H33" s="8" t="s">
        <x:v>22</x:v>
      </x:c>
      <x:c r="I33" s="44">
        <x:v>1913.52</x:v>
      </x:c>
      <x:c r="J33" s="44">
        <x:v>248.76</x:v>
      </x:c>
      <x:c r="K33" s="8" t="s">
        <x:v>30</x:v>
      </x:c>
      <x:c r="L33" s="44">
        <x:v>211.446</x:v>
      </x:c>
      <x:c r="M33" s="44">
        <x:v>4.2289200000000005</x:v>
      </x:c>
      <x:c r="N33" s="44">
        <x:v>207.21708000000001</x:v>
      </x:c>
    </x:row>
    <x:row r="34">
      <x:c r="A34" s="8" t="s">
        <x:v>24</x:v>
      </x:c>
      <x:c r="B34" s="8" t="s">
        <x:v>25</x:v>
      </x:c>
      <x:c r="C34" s="8" t="s">
        <x:v>89</x:v>
      </x:c>
      <x:c r="D34" s="8" t="s">
        <x:v>90</x:v>
      </x:c>
      <x:c r="E34" s="8" t="s">
        <x:v>85</x:v>
      </x:c>
      <x:c r="F34" s="8" t="s">
        <x:v>20</x:v>
      </x:c>
      <x:c r="G34" s="8" t="s">
        <x:v>21</x:v>
      </x:c>
      <x:c r="H34" s="8" t="s">
        <x:v>22</x:v>
      </x:c>
      <x:c r="I34" s="44">
        <x:v>17787.599999999999</x:v>
      </x:c>
      <x:c r="J34" s="44">
        <x:v>2312.39</x:v>
      </x:c>
      <x:c r="K34" s="8" t="s">
        <x:v>30</x:v>
      </x:c>
      <x:c r="L34" s="44">
        <x:v>1965.5314999999998</x:v>
      </x:c>
      <x:c r="M34" s="44">
        <x:v>39.310629999999996</x:v>
      </x:c>
      <x:c r="N34" s="44">
        <x:v>1926.2208699999999</x:v>
      </x:c>
    </x:row>
    <x:row r="35">
      <x:c r="J35" s="45" t="s">
        <x:v>91</x:v>
      </x:c>
      <x:c r="K35" s="45"/>
      <x:c r="L35" s="45" t="n">
        <x:f>SUM(L2:L34)</x:f>
        <x:v>224299.25800000003</x:v>
      </x:c>
      <x:c r="M35" s="45"/>
      <x:c r="N35" s="45"/>
    </x:row>
    <x:row r="36">
      <x:c r="J36" s="45" t="s">
        <x:v>92</x:v>
      </x:c>
      <x:c r="K36" s="45"/>
      <x:c r="L36" s="45" t="n">
        <x:f>+L35*13%</x:f>
        <x:v>29158.903540000007</x:v>
      </x:c>
      <x:c r="M36" s="45"/>
      <x:c r="N36" s="45"/>
    </x:row>
    <x:row r="37">
      <x:c r="J37" s="46" t="s">
        <x:v>93</x:v>
      </x:c>
      <x:c r="K37" s="46"/>
      <x:c r="L37" s="46" t="n">
        <x:f>+L35+L36</x:f>
        <x:v>253458.16154000003</x:v>
      </x:c>
      <x:c r="M37" s="46"/>
      <x:c r="N37" s="46"/>
    </x:row>
    <x:row r="38">
      <x:c r="J38" s="45" t="s">
        <x:v>94</x:v>
      </x:c>
      <x:c r="K38" s="45"/>
      <x:c r="L38" s="45" t="n">
        <x:f>+L35*2%</x:f>
        <x:v>4485.985160000001</x:v>
      </x:c>
      <x:c r="M38" s="45"/>
      <x:c r="N38" s="45"/>
    </x:row>
    <x:row r="39">
      <x:c r="J39" s="45" t="s">
        <x:v>95</x:v>
      </x:c>
      <x:c r="K39" s="45"/>
      <x:c r="L39" s="45" t="n">
        <x:f>+L37-L38</x:f>
        <x:v>248972.17638000002</x:v>
      </x:c>
      <x:c r="M39" s="45"/>
      <x:c r="N39" s="45"/>
    </x:row>
    <x:row r="41">
      <x:c r="A41" s="9" t="s">
        <x:v>0</x:v>
      </x:c>
      <x:c r="B41" s="9" t="s">
        <x:v>1</x:v>
      </x:c>
      <x:c r="C41" s="9" t="s">
        <x:v>2</x:v>
      </x:c>
      <x:c r="D41" s="9" t="s">
        <x:v>3</x:v>
      </x:c>
      <x:c r="E41" s="9" t="s">
        <x:v>4</x:v>
      </x:c>
      <x:c r="F41" s="9" t="s">
        <x:v>5</x:v>
      </x:c>
      <x:c r="G41" s="9" t="s">
        <x:v>6</x:v>
      </x:c>
      <x:c r="H41" s="9" t="s">
        <x:v>7</x:v>
      </x:c>
      <x:c r="I41" s="10" t="s">
        <x:v>8</x:v>
      </x:c>
      <x:c r="J41" s="11" t="s">
        <x:v>9</x:v>
      </x:c>
      <x:c r="K41" s="10" t="s">
        <x:v>10</x:v>
      </x:c>
      <x:c r="L41" s="10" t="s">
        <x:v>11</x:v>
      </x:c>
      <x:c r="M41" s="10" t="s">
        <x:v>12</x:v>
      </x:c>
      <x:c r="N41" s="10" t="s">
        <x:v>13</x:v>
      </x:c>
      <x:c r="O41" s="9" t="s">
        <x:v>14</x:v>
      </x:c>
    </x:row>
    <x:row r="42">
      <x:c r="A42" s="8" t="s">
        <x:v>15</x:v>
      </x:c>
      <x:c r="B42" s="8" t="s">
        <x:v>16</x:v>
      </x:c>
      <x:c r="C42" s="8" t="s">
        <x:v>96</x:v>
      </x:c>
      <x:c r="D42" s="8" t="s">
        <x:v>97</x:v>
      </x:c>
      <x:c r="E42" s="8" t="s">
        <x:v>98</x:v>
      </x:c>
      <x:c r="F42" s="8" t="s">
        <x:v>58</x:v>
      </x:c>
      <x:c r="G42" s="8" t="s">
        <x:v>29</x:v>
      </x:c>
      <x:c r="H42" s="8" t="s">
        <x:v>99</x:v>
      </x:c>
      <x:c r="I42" s="44">
        <x:v>496.8</x:v>
      </x:c>
      <x:c r="J42" s="44">
        <x:v>67.06</x:v>
      </x:c>
      <x:c r="K42" s="8" t="s">
        <x:v>23</x:v>
      </x:c>
      <x:c r="L42" s="44">
        <x:v>60.354000000000006</x:v>
      </x:c>
      <x:c r="M42" s="44">
        <x:v>1.2070800000000002</x:v>
      </x:c>
      <x:c r="N42" s="44">
        <x:v>59.146920000000009</x:v>
      </x:c>
    </x:row>
    <x:row r="43">
      <x:c r="A43" s="8" t="s">
        <x:v>15</x:v>
      </x:c>
      <x:c r="B43" s="8" t="s">
        <x:v>16</x:v>
      </x:c>
      <x:c r="C43" s="8" t="s">
        <x:v>100</x:v>
      </x:c>
      <x:c r="D43" s="8" t="s">
        <x:v>101</x:v>
      </x:c>
      <x:c r="E43" s="8" t="s">
        <x:v>98</x:v>
      </x:c>
      <x:c r="F43" s="8" t="s">
        <x:v>20</x:v>
      </x:c>
      <x:c r="G43" s="8" t="s">
        <x:v>29</x:v>
      </x:c>
      <x:c r="H43" s="8" t="s">
        <x:v>99</x:v>
      </x:c>
      <x:c r="I43" s="44">
        <x:v>396.76</x:v>
      </x:c>
      <x:c r="J43" s="44">
        <x:v>53.56</x:v>
      </x:c>
      <x:c r="K43" s="8" t="s">
        <x:v>23</x:v>
      </x:c>
      <x:c r="L43" s="44">
        <x:v>48.204000000000001</x:v>
      </x:c>
      <x:c r="M43" s="44">
        <x:v>0.96408000000000005</x:v>
      </x:c>
      <x:c r="N43" s="44">
        <x:v>47.239919999999998</x:v>
      </x:c>
    </x:row>
    <x:row r="44">
      <x:c r="A44" s="8" t="s">
        <x:v>15</x:v>
      </x:c>
      <x:c r="B44" s="8" t="s">
        <x:v>16</x:v>
      </x:c>
      <x:c r="C44" s="8" t="s">
        <x:v>102</x:v>
      </x:c>
      <x:c r="D44" s="8" t="s">
        <x:v>103</x:v>
      </x:c>
      <x:c r="E44" s="8" t="s">
        <x:v>98</x:v>
      </x:c>
      <x:c r="F44" s="8" t="s">
        <x:v>20</x:v>
      </x:c>
      <x:c r="G44" s="8" t="s">
        <x:v>29</x:v>
      </x:c>
      <x:c r="H44" s="8" t="s">
        <x:v>99</x:v>
      </x:c>
      <x:c r="I44" s="44">
        <x:v>364.43</x:v>
      </x:c>
      <x:c r="J44" s="44">
        <x:v>49.19</x:v>
      </x:c>
      <x:c r="K44" s="8" t="s">
        <x:v>23</x:v>
      </x:c>
      <x:c r="L44" s="44">
        <x:v>44.271000000000001</x:v>
      </x:c>
      <x:c r="M44" s="44">
        <x:v>0.88541999999999998</x:v>
      </x:c>
      <x:c r="N44" s="44">
        <x:v>43.385579999999997</x:v>
      </x:c>
    </x:row>
    <x:row r="45">
      <x:c r="A45" s="8" t="s">
        <x:v>15</x:v>
      </x:c>
      <x:c r="B45" s="8" t="s">
        <x:v>16</x:v>
      </x:c>
      <x:c r="C45" s="8" t="s">
        <x:v>104</x:v>
      </x:c>
      <x:c r="D45" s="8" t="s">
        <x:v>105</x:v>
      </x:c>
      <x:c r="E45" s="8" t="s">
        <x:v>98</x:v>
      </x:c>
      <x:c r="F45" s="8" t="s">
        <x:v>20</x:v>
      </x:c>
      <x:c r="G45" s="8" t="s">
        <x:v>29</x:v>
      </x:c>
      <x:c r="H45" s="8" t="s">
        <x:v>99</x:v>
      </x:c>
      <x:c r="I45" s="44">
        <x:v>3199.13</x:v>
      </x:c>
      <x:c r="J45" s="44">
        <x:v>431.88</x:v>
      </x:c>
      <x:c r="K45" s="8" t="s">
        <x:v>23</x:v>
      </x:c>
      <x:c r="L45" s="44">
        <x:v>388.69200000000001</x:v>
      </x:c>
      <x:c r="M45" s="44">
        <x:v>7.7738400000000007</x:v>
      </x:c>
      <x:c r="N45" s="44">
        <x:v>380.91816</x:v>
      </x:c>
    </x:row>
    <x:row r="46">
      <x:c r="A46" s="8" t="s">
        <x:v>15</x:v>
      </x:c>
      <x:c r="B46" s="8" t="s">
        <x:v>16</x:v>
      </x:c>
      <x:c r="C46" s="8" t="s">
        <x:v>106</x:v>
      </x:c>
      <x:c r="D46" s="8" t="s">
        <x:v>107</x:v>
      </x:c>
      <x:c r="E46" s="8" t="s">
        <x:v>98</x:v>
      </x:c>
      <x:c r="F46" s="8" t="s">
        <x:v>20</x:v>
      </x:c>
      <x:c r="G46" s="8" t="s">
        <x:v>29</x:v>
      </x:c>
      <x:c r="H46" s="8" t="s">
        <x:v>99</x:v>
      </x:c>
      <x:c r="I46" s="44">
        <x:v>325.89999999999998</x:v>
      </x:c>
      <x:c r="J46" s="44">
        <x:v>43.99</x:v>
      </x:c>
      <x:c r="K46" s="8" t="s">
        <x:v>23</x:v>
      </x:c>
      <x:c r="L46" s="44">
        <x:v>39.591000000000001</x:v>
      </x:c>
      <x:c r="M46" s="44">
        <x:v>0.79182000000000008</x:v>
      </x:c>
      <x:c r="N46" s="44">
        <x:v>38.79918</x:v>
      </x:c>
    </x:row>
    <x:row r="47">
      <x:c r="A47" s="8" t="s">
        <x:v>15</x:v>
      </x:c>
      <x:c r="B47" s="8" t="s">
        <x:v>16</x:v>
      </x:c>
      <x:c r="C47" s="8" t="s">
        <x:v>108</x:v>
      </x:c>
      <x:c r="D47" s="8" t="s">
        <x:v>109</x:v>
      </x:c>
      <x:c r="E47" s="8" t="s">
        <x:v>98</x:v>
      </x:c>
      <x:c r="F47" s="8" t="s">
        <x:v>20</x:v>
      </x:c>
      <x:c r="G47" s="8" t="s">
        <x:v>29</x:v>
      </x:c>
      <x:c r="H47" s="8" t="s">
        <x:v>99</x:v>
      </x:c>
      <x:c r="I47" s="44">
        <x:v>153.47999999999999</x:v>
      </x:c>
      <x:c r="J47" s="44">
        <x:v>20.72</x:v>
      </x:c>
      <x:c r="K47" s="8" t="s">
        <x:v>23</x:v>
      </x:c>
      <x:c r="L47" s="44">
        <x:v>18.648</x:v>
      </x:c>
      <x:c r="M47" s="44">
        <x:v>0.37296000000000001</x:v>
      </x:c>
      <x:c r="N47" s="44">
        <x:v>18.275040000000001</x:v>
      </x:c>
    </x:row>
    <x:row r="48">
      <x:c r="A48" s="8" t="s">
        <x:v>15</x:v>
      </x:c>
      <x:c r="B48" s="8" t="s">
        <x:v>16</x:v>
      </x:c>
      <x:c r="C48" s="8" t="s">
        <x:v>110</x:v>
      </x:c>
      <x:c r="D48" s="8" t="s">
        <x:v>111</x:v>
      </x:c>
      <x:c r="E48" s="8" t="s">
        <x:v>98</x:v>
      </x:c>
      <x:c r="F48" s="8" t="s">
        <x:v>20</x:v>
      </x:c>
      <x:c r="G48" s="8" t="s">
        <x:v>29</x:v>
      </x:c>
      <x:c r="H48" s="8" t="s">
        <x:v>99</x:v>
      </x:c>
      <x:c r="I48" s="44">
        <x:v>1634.47</x:v>
      </x:c>
      <x:c r="J48" s="44">
        <x:v>220.65</x:v>
      </x:c>
      <x:c r="K48" s="8" t="s">
        <x:v>23</x:v>
      </x:c>
      <x:c r="L48" s="44">
        <x:v>198.58500000000001</x:v>
      </x:c>
      <x:c r="M48" s="44">
        <x:v>3.9717000000000002</x:v>
      </x:c>
      <x:c r="N48" s="44">
        <x:v>194.61330000000001</x:v>
      </x:c>
    </x:row>
    <x:row r="49">
      <x:c r="A49" s="8" t="s">
        <x:v>15</x:v>
      </x:c>
      <x:c r="B49" s="8" t="s">
        <x:v>16</x:v>
      </x:c>
      <x:c r="C49" s="8" t="s">
        <x:v>112</x:v>
      </x:c>
      <x:c r="D49" s="8" t="s">
        <x:v>113</x:v>
      </x:c>
      <x:c r="E49" s="8" t="s">
        <x:v>98</x:v>
      </x:c>
      <x:c r="F49" s="8" t="s">
        <x:v>20</x:v>
      </x:c>
      <x:c r="G49" s="8" t="s">
        <x:v>29</x:v>
      </x:c>
      <x:c r="H49" s="8" t="s">
        <x:v>99</x:v>
      </x:c>
      <x:c r="I49" s="44">
        <x:v>875.68</x:v>
      </x:c>
      <x:c r="J49" s="44">
        <x:v>118.21</x:v>
      </x:c>
      <x:c r="K49" s="8" t="s">
        <x:v>23</x:v>
      </x:c>
      <x:c r="L49" s="44">
        <x:v>106.389</x:v>
      </x:c>
      <x:c r="M49" s="44">
        <x:v>2.12778</x:v>
      </x:c>
      <x:c r="N49" s="44">
        <x:v>104.26121999999999</x:v>
      </x:c>
    </x:row>
    <x:row r="50">
      <x:c r="A50" s="8" t="s">
        <x:v>15</x:v>
      </x:c>
      <x:c r="B50" s="8" t="s">
        <x:v>16</x:v>
      </x:c>
      <x:c r="C50" s="8" t="s">
        <x:v>114</x:v>
      </x:c>
      <x:c r="D50" s="8" t="s">
        <x:v>115</x:v>
      </x:c>
      <x:c r="E50" s="8" t="s">
        <x:v>98</x:v>
      </x:c>
      <x:c r="F50" s="8" t="s">
        <x:v>20</x:v>
      </x:c>
      <x:c r="G50" s="8" t="s">
        <x:v>29</x:v>
      </x:c>
      <x:c r="H50" s="8" t="s">
        <x:v>99</x:v>
      </x:c>
      <x:c r="I50" s="44">
        <x:v>750.87</x:v>
      </x:c>
      <x:c r="J50" s="44">
        <x:v>101.36</x:v>
      </x:c>
      <x:c r="K50" s="8" t="s">
        <x:v>23</x:v>
      </x:c>
      <x:c r="L50" s="44">
        <x:v>91.224000000000004</x:v>
      </x:c>
      <x:c r="M50" s="44">
        <x:v>1.8244800000000001</x:v>
      </x:c>
      <x:c r="N50" s="44">
        <x:v>89.39952000000001</x:v>
      </x:c>
    </x:row>
    <x:row r="51">
      <x:c r="A51" s="8" t="s">
        <x:v>15</x:v>
      </x:c>
      <x:c r="B51" s="8" t="s">
        <x:v>16</x:v>
      </x:c>
      <x:c r="C51" s="8" t="s">
        <x:v>116</x:v>
      </x:c>
      <x:c r="D51" s="8" t="s">
        <x:v>117</x:v>
      </x:c>
      <x:c r="E51" s="8" t="s">
        <x:v>98</x:v>
      </x:c>
      <x:c r="F51" s="8" t="s">
        <x:v>20</x:v>
      </x:c>
      <x:c r="G51" s="8" t="s">
        <x:v>29</x:v>
      </x:c>
      <x:c r="H51" s="8" t="s">
        <x:v>99</x:v>
      </x:c>
      <x:c r="I51" s="44">
        <x:v>428.77</x:v>
      </x:c>
      <x:c r="J51" s="44">
        <x:v>57.88</x:v>
      </x:c>
      <x:c r="K51" s="8" t="s">
        <x:v>23</x:v>
      </x:c>
      <x:c r="L51" s="44">
        <x:v>52.092000000000006</x:v>
      </x:c>
      <x:c r="M51" s="44">
        <x:v>1.0418400000000001</x:v>
      </x:c>
      <x:c r="N51" s="44">
        <x:v>51.050160000000005</x:v>
      </x:c>
    </x:row>
    <x:row r="52">
      <x:c r="A52" s="8" t="s">
        <x:v>15</x:v>
      </x:c>
      <x:c r="B52" s="8" t="s">
        <x:v>16</x:v>
      </x:c>
      <x:c r="C52" s="8" t="s">
        <x:v>118</x:v>
      </x:c>
      <x:c r="D52" s="8" t="s">
        <x:v>119</x:v>
      </x:c>
      <x:c r="E52" s="8" t="s">
        <x:v>98</x:v>
      </x:c>
      <x:c r="F52" s="8" t="s">
        <x:v>20</x:v>
      </x:c>
      <x:c r="G52" s="8" t="s">
        <x:v>29</x:v>
      </x:c>
      <x:c r="H52" s="8" t="s">
        <x:v>99</x:v>
      </x:c>
      <x:c r="I52" s="44">
        <x:v>375.13</x:v>
      </x:c>
      <x:c r="J52" s="44">
        <x:v>50.64</x:v>
      </x:c>
      <x:c r="K52" s="8" t="s">
        <x:v>23</x:v>
      </x:c>
      <x:c r="L52" s="44">
        <x:v>45.576000000000001</x:v>
      </x:c>
      <x:c r="M52" s="44">
        <x:v>0.91152</x:v>
      </x:c>
      <x:c r="N52" s="44">
        <x:v>44.664479999999998</x:v>
      </x:c>
    </x:row>
    <x:row r="53">
      <x:c r="A53" s="8" t="s">
        <x:v>15</x:v>
      </x:c>
      <x:c r="B53" s="8" t="s">
        <x:v>16</x:v>
      </x:c>
      <x:c r="C53" s="8" t="s">
        <x:v>120</x:v>
      </x:c>
      <x:c r="D53" s="8" t="s">
        <x:v>111</x:v>
      </x:c>
      <x:c r="E53" s="8" t="s">
        <x:v>98</x:v>
      </x:c>
      <x:c r="F53" s="8" t="s">
        <x:v>20</x:v>
      </x:c>
      <x:c r="G53" s="8" t="s">
        <x:v>29</x:v>
      </x:c>
      <x:c r="H53" s="8" t="s">
        <x:v>99</x:v>
      </x:c>
      <x:c r="I53" s="44">
        <x:v>313.87</x:v>
      </x:c>
      <x:c r="J53" s="44">
        <x:v>14.12</x:v>
      </x:c>
      <x:c r="K53" s="8" t="s">
        <x:v>23</x:v>
      </x:c>
      <x:c r="L53" s="44">
        <x:v>12.708</x:v>
      </x:c>
      <x:c r="M53" s="44">
        <x:v>0.25416</x:v>
      </x:c>
      <x:c r="N53" s="44">
        <x:v>12.45384</x:v>
      </x:c>
    </x:row>
    <x:row r="54">
      <x:c r="A54" s="8" t="s">
        <x:v>24</x:v>
      </x:c>
      <x:c r="B54" s="8" t="s">
        <x:v>25</x:v>
      </x:c>
      <x:c r="C54" s="8" t="s">
        <x:v>121</x:v>
      </x:c>
      <x:c r="D54" s="8" t="s">
        <x:v>122</x:v>
      </x:c>
      <x:c r="E54" s="8" t="s">
        <x:v>98</x:v>
      </x:c>
      <x:c r="F54" s="8" t="s">
        <x:v>20</x:v>
      </x:c>
      <x:c r="G54" s="8" t="s">
        <x:v>21</x:v>
      </x:c>
      <x:c r="H54" s="8" t="s">
        <x:v>99</x:v>
      </x:c>
      <x:c r="I54" s="44">
        <x:v>49.38</x:v>
      </x:c>
      <x:c r="J54" s="44">
        <x:v>7.39</x:v>
      </x:c>
      <x:c r="K54" s="8" t="s">
        <x:v>30</x:v>
      </x:c>
      <x:c r="L54" s="44">
        <x:v>6.2814999999999994</x:v>
      </x:c>
      <x:c r="M54" s="44">
        <x:v>0.12562999999999999</x:v>
      </x:c>
      <x:c r="N54" s="44">
        <x:v>6.1558699999999993</x:v>
      </x:c>
    </x:row>
    <x:row r="55">
      <x:c r="A55" s="8" t="s">
        <x:v>24</x:v>
      </x:c>
      <x:c r="B55" s="8" t="s">
        <x:v>25</x:v>
      </x:c>
      <x:c r="C55" s="8" t="s">
        <x:v>123</x:v>
      </x:c>
      <x:c r="D55" s="8" t="s">
        <x:v>124</x:v>
      </x:c>
      <x:c r="E55" s="8" t="s">
        <x:v>125</x:v>
      </x:c>
      <x:c r="F55" s="8" t="s">
        <x:v>20</x:v>
      </x:c>
      <x:c r="G55" s="8" t="s">
        <x:v>29</x:v>
      </x:c>
      <x:c r="H55" s="8" t="s">
        <x:v>99</x:v>
      </x:c>
      <x:c r="I55" s="44">
        <x:v>776.33</x:v>
      </x:c>
      <x:c r="J55" s="44">
        <x:v>190.82</x:v>
      </x:c>
      <x:c r="K55" s="8" t="s">
        <x:v>30</x:v>
      </x:c>
      <x:c r="L55" s="44">
        <x:v>162.197</x:v>
      </x:c>
      <x:c r="M55" s="44">
        <x:v>3.2439400000000003</x:v>
      </x:c>
      <x:c r="N55" s="44">
        <x:v>158.95305999999999</x:v>
      </x:c>
    </x:row>
    <x:row r="56">
      <x:c r="A56" s="8" t="s">
        <x:v>24</x:v>
      </x:c>
      <x:c r="B56" s="8" t="s">
        <x:v>25</x:v>
      </x:c>
      <x:c r="C56" s="8" t="s">
        <x:v>126</x:v>
      </x:c>
      <x:c r="D56" s="8" t="s">
        <x:v>127</x:v>
      </x:c>
      <x:c r="E56" s="8" t="s">
        <x:v>125</x:v>
      </x:c>
      <x:c r="F56" s="8" t="s">
        <x:v>20</x:v>
      </x:c>
      <x:c r="G56" s="8" t="s">
        <x:v>29</x:v>
      </x:c>
      <x:c r="H56" s="8" t="s">
        <x:v>99</x:v>
      </x:c>
      <x:c r="I56" s="44">
        <x:v>541.53</x:v>
      </x:c>
      <x:c r="J56" s="44">
        <x:v>134.31</x:v>
      </x:c>
      <x:c r="K56" s="8" t="s">
        <x:v>30</x:v>
      </x:c>
      <x:c r="L56" s="44">
        <x:v>114.1635</x:v>
      </x:c>
      <x:c r="M56" s="44">
        <x:v>2.2832699999999999</x:v>
      </x:c>
      <x:c r="N56" s="44">
        <x:v>111.88023</x:v>
      </x:c>
    </x:row>
    <x:row r="57">
      <x:c r="A57" s="8" t="s">
        <x:v>24</x:v>
      </x:c>
      <x:c r="B57" s="8" t="s">
        <x:v>25</x:v>
      </x:c>
      <x:c r="C57" s="8" t="s">
        <x:v>128</x:v>
      </x:c>
      <x:c r="D57" s="8" t="s">
        <x:v>129</x:v>
      </x:c>
      <x:c r="E57" s="8" t="s">
        <x:v>125</x:v>
      </x:c>
      <x:c r="F57" s="8" t="s">
        <x:v>58</x:v>
      </x:c>
      <x:c r="G57" s="8" t="s">
        <x:v>29</x:v>
      </x:c>
      <x:c r="H57" s="8" t="s">
        <x:v>99</x:v>
      </x:c>
      <x:c r="I57" s="44">
        <x:v>330.75</x:v>
      </x:c>
      <x:c r="J57" s="44">
        <x:v>73.5</x:v>
      </x:c>
      <x:c r="K57" s="8" t="s">
        <x:v>30</x:v>
      </x:c>
      <x:c r="L57" s="44">
        <x:v>62.475000000000001</x:v>
      </x:c>
      <x:c r="M57" s="44">
        <x:v>1.2495000000000001</x:v>
      </x:c>
      <x:c r="N57" s="44">
        <x:v>61.225500000000004</x:v>
      </x:c>
    </x:row>
    <x:row r="58">
      <x:c r="A58" s="8" t="s">
        <x:v>24</x:v>
      </x:c>
      <x:c r="B58" s="8" t="s">
        <x:v>25</x:v>
      </x:c>
      <x:c r="C58" s="8" t="s">
        <x:v>130</x:v>
      </x:c>
      <x:c r="D58" s="8" t="s">
        <x:v>131</x:v>
      </x:c>
      <x:c r="E58" s="8" t="s">
        <x:v>125</x:v>
      </x:c>
      <x:c r="F58" s="8" t="s">
        <x:v>20</x:v>
      </x:c>
      <x:c r="G58" s="8" t="s">
        <x:v>29</x:v>
      </x:c>
      <x:c r="H58" s="8" t="s">
        <x:v>99</x:v>
      </x:c>
      <x:c r="I58" s="44">
        <x:v>797.78</x:v>
      </x:c>
      <x:c r="J58" s="44">
        <x:v>196.18</x:v>
      </x:c>
      <x:c r="K58" s="8" t="s">
        <x:v>30</x:v>
      </x:c>
      <x:c r="L58" s="44">
        <x:v>166.75300000000001</x:v>
      </x:c>
      <x:c r="M58" s="44">
        <x:v>3.3350600000000004</x:v>
      </x:c>
      <x:c r="N58" s="44">
        <x:v>163.41794000000002</x:v>
      </x:c>
    </x:row>
    <x:row r="59">
      <x:c r="A59" s="8" t="s">
        <x:v>24</x:v>
      </x:c>
      <x:c r="B59" s="8" t="s">
        <x:v>25</x:v>
      </x:c>
      <x:c r="C59" s="8" t="s">
        <x:v>132</x:v>
      </x:c>
      <x:c r="D59" s="8" t="s">
        <x:v>133</x:v>
      </x:c>
      <x:c r="E59" s="8" t="s">
        <x:v>125</x:v>
      </x:c>
      <x:c r="F59" s="8" t="s">
        <x:v>20</x:v>
      </x:c>
      <x:c r="G59" s="8" t="s">
        <x:v>29</x:v>
      </x:c>
      <x:c r="H59" s="8" t="s">
        <x:v>99</x:v>
      </x:c>
      <x:c r="I59" s="44">
        <x:v>724.9</x:v>
      </x:c>
      <x:c r="J59" s="44">
        <x:v>160.31</x:v>
      </x:c>
      <x:c r="K59" s="8" t="s">
        <x:v>30</x:v>
      </x:c>
      <x:c r="L59" s="44">
        <x:v>136.26349999999999</x:v>
      </x:c>
      <x:c r="M59" s="44">
        <x:v>2.7252700000000001</x:v>
      </x:c>
      <x:c r="N59" s="44">
        <x:v>133.53823</x:v>
      </x:c>
    </x:row>
    <x:row r="60">
      <x:c r="A60" s="8" t="s">
        <x:v>24</x:v>
      </x:c>
      <x:c r="B60" s="8" t="s">
        <x:v>25</x:v>
      </x:c>
      <x:c r="C60" s="8" t="s">
        <x:v>134</x:v>
      </x:c>
      <x:c r="D60" s="8" t="s">
        <x:v>135</x:v>
      </x:c>
      <x:c r="E60" s="8" t="s">
        <x:v>125</x:v>
      </x:c>
      <x:c r="F60" s="8" t="s">
        <x:v>20</x:v>
      </x:c>
      <x:c r="G60" s="8" t="s">
        <x:v>29</x:v>
      </x:c>
      <x:c r="H60" s="8" t="s">
        <x:v>99</x:v>
      </x:c>
      <x:c r="I60" s="44">
        <x:v>703.18</x:v>
      </x:c>
      <x:c r="J60" s="44">
        <x:v>155.41999999999999</x:v>
      </x:c>
      <x:c r="K60" s="8" t="s">
        <x:v>30</x:v>
      </x:c>
      <x:c r="L60" s="44">
        <x:v>132.107</x:v>
      </x:c>
      <x:c r="M60" s="44">
        <x:v>2.6421399999999999</x:v>
      </x:c>
      <x:c r="N60" s="44">
        <x:v>129.46485999999999</x:v>
      </x:c>
    </x:row>
    <x:row r="61">
      <x:c r="A61" s="8" t="s">
        <x:v>24</x:v>
      </x:c>
      <x:c r="B61" s="8" t="s">
        <x:v>25</x:v>
      </x:c>
      <x:c r="C61" s="8" t="s">
        <x:v>136</x:v>
      </x:c>
      <x:c r="D61" s="8" t="s">
        <x:v>137</x:v>
      </x:c>
      <x:c r="E61" s="8" t="s">
        <x:v>125</x:v>
      </x:c>
      <x:c r="F61" s="8" t="s">
        <x:v>20</x:v>
      </x:c>
      <x:c r="G61" s="8" t="s">
        <x:v>29</x:v>
      </x:c>
      <x:c r="H61" s="8" t="s">
        <x:v>99</x:v>
      </x:c>
      <x:c r="I61" s="44">
        <x:v>601.20000000000005</x:v>
      </x:c>
      <x:c r="J61" s="44">
        <x:v>134.35</x:v>
      </x:c>
      <x:c r="K61" s="8" t="s">
        <x:v>30</x:v>
      </x:c>
      <x:c r="L61" s="44">
        <x:v>114.19749999999999</x:v>
      </x:c>
      <x:c r="M61" s="44">
        <x:v>2.2839499999999999</x:v>
      </x:c>
      <x:c r="N61" s="44">
        <x:v>111.91354999999999</x:v>
      </x:c>
    </x:row>
    <x:row r="62">
      <x:c r="A62" s="8" t="s">
        <x:v>24</x:v>
      </x:c>
      <x:c r="B62" s="8" t="s">
        <x:v>25</x:v>
      </x:c>
      <x:c r="C62" s="8" t="s">
        <x:v>138</x:v>
      </x:c>
      <x:c r="D62" s="8" t="s">
        <x:v>139</x:v>
      </x:c>
      <x:c r="E62" s="8" t="s">
        <x:v>28</x:v>
      </x:c>
      <x:c r="F62" s="8" t="s">
        <x:v>33</x:v>
      </x:c>
      <x:c r="G62" s="8" t="s">
        <x:v>21</x:v>
      </x:c>
      <x:c r="H62" s="8" t="s">
        <x:v>99</x:v>
      </x:c>
      <x:c r="I62" s="44">
        <x:v>211.11</x:v>
      </x:c>
      <x:c r="J62" s="44">
        <x:v>31.66</x:v>
      </x:c>
      <x:c r="K62" s="8" t="s">
        <x:v>30</x:v>
      </x:c>
      <x:c r="L62" s="44">
        <x:v>26.910999999999998</x:v>
      </x:c>
      <x:c r="M62" s="44">
        <x:v>0.53821999999999992</x:v>
      </x:c>
      <x:c r="N62" s="44">
        <x:v>26.372779999999999</x:v>
      </x:c>
    </x:row>
    <x:row r="63">
      <x:c r="A63" s="8" t="s">
        <x:v>24</x:v>
      </x:c>
      <x:c r="B63" s="8" t="s">
        <x:v>25</x:v>
      </x:c>
      <x:c r="C63" s="8" t="s">
        <x:v>140</x:v>
      </x:c>
      <x:c r="D63" s="8" t="s">
        <x:v>141</x:v>
      </x:c>
      <x:c r="E63" s="8" t="s">
        <x:v>28</x:v>
      </x:c>
      <x:c r="F63" s="8" t="s">
        <x:v>20</x:v>
      </x:c>
      <x:c r="G63" s="8" t="s">
        <x:v>21</x:v>
      </x:c>
      <x:c r="H63" s="8" t="s">
        <x:v>99</x:v>
      </x:c>
      <x:c r="I63" s="44">
        <x:v>645.77</x:v>
      </x:c>
      <x:c r="J63" s="44">
        <x:v>96.82</x:v>
      </x:c>
      <x:c r="K63" s="8" t="s">
        <x:v>30</x:v>
      </x:c>
      <x:c r="L63" s="44">
        <x:v>82.296999999999997</x:v>
      </x:c>
      <x:c r="M63" s="44">
        <x:v>1.64594</x:v>
      </x:c>
      <x:c r="N63" s="44">
        <x:v>80.651060000000001</x:v>
      </x:c>
    </x:row>
    <x:row r="64">
      <x:c r="A64" s="8" t="s">
        <x:v>24</x:v>
      </x:c>
      <x:c r="B64" s="8" t="s">
        <x:v>25</x:v>
      </x:c>
      <x:c r="C64" s="8" t="s">
        <x:v>142</x:v>
      </x:c>
      <x:c r="D64" s="8" t="s">
        <x:v>143</x:v>
      </x:c>
      <x:c r="E64" s="8" t="s">
        <x:v>28</x:v>
      </x:c>
      <x:c r="F64" s="8" t="s">
        <x:v>20</x:v>
      </x:c>
      <x:c r="G64" s="8" t="s">
        <x:v>29</x:v>
      </x:c>
      <x:c r="H64" s="8" t="s">
        <x:v>99</x:v>
      </x:c>
      <x:c r="I64" s="44">
        <x:v>3338.23</x:v>
      </x:c>
      <x:c r="J64" s="44">
        <x:v>867.94</x:v>
      </x:c>
      <x:c r="K64" s="8" t="s">
        <x:v>30</x:v>
      </x:c>
      <x:c r="L64" s="44">
        <x:v>737.74900000000002</x:v>
      </x:c>
      <x:c r="M64" s="44">
        <x:v>14.754980000000002</x:v>
      </x:c>
      <x:c r="N64" s="44">
        <x:v>722.99401999999998</x:v>
      </x:c>
    </x:row>
    <x:row r="65">
      <x:c r="A65" s="8" t="s">
        <x:v>24</x:v>
      </x:c>
      <x:c r="B65" s="8" t="s">
        <x:v>25</x:v>
      </x:c>
      <x:c r="C65" s="8" t="s">
        <x:v>144</x:v>
      </x:c>
      <x:c r="D65" s="8" t="s">
        <x:v>145</x:v>
      </x:c>
      <x:c r="E65" s="8" t="s">
        <x:v>50</x:v>
      </x:c>
      <x:c r="F65" s="8" t="s">
        <x:v>20</x:v>
      </x:c>
      <x:c r="G65" s="8" t="s">
        <x:v>21</x:v>
      </x:c>
      <x:c r="H65" s="8" t="s">
        <x:v>99</x:v>
      </x:c>
      <x:c r="I65" s="44">
        <x:v>249.91</x:v>
      </x:c>
      <x:c r="J65" s="44">
        <x:v>52.49</x:v>
      </x:c>
      <x:c r="K65" s="8" t="s">
        <x:v>30</x:v>
      </x:c>
      <x:c r="L65" s="44">
        <x:v>44.616500000000002</x:v>
      </x:c>
      <x:c r="M65" s="44">
        <x:v>0.89233000000000007</x:v>
      </x:c>
      <x:c r="N65" s="44">
        <x:v>43.724170000000001</x:v>
      </x:c>
    </x:row>
    <x:row r="66">
      <x:c r="A66" s="8" t="s">
        <x:v>24</x:v>
      </x:c>
      <x:c r="B66" s="8" t="s">
        <x:v>25</x:v>
      </x:c>
      <x:c r="C66" s="8" t="s">
        <x:v>146</x:v>
      </x:c>
      <x:c r="D66" s="8" t="s">
        <x:v>145</x:v>
      </x:c>
      <x:c r="E66" s="8" t="s">
        <x:v>50</x:v>
      </x:c>
      <x:c r="F66" s="8" t="s">
        <x:v>20</x:v>
      </x:c>
      <x:c r="G66" s="8" t="s">
        <x:v>21</x:v>
      </x:c>
      <x:c r="H66" s="8" t="s">
        <x:v>99</x:v>
      </x:c>
      <x:c r="I66" s="44">
        <x:v>249.91</x:v>
      </x:c>
      <x:c r="J66" s="44">
        <x:v>52.49</x:v>
      </x:c>
      <x:c r="K66" s="8" t="s">
        <x:v>30</x:v>
      </x:c>
      <x:c r="L66" s="44">
        <x:v>44.616500000000002</x:v>
      </x:c>
      <x:c r="M66" s="44">
        <x:v>0.89233000000000007</x:v>
      </x:c>
      <x:c r="N66" s="44">
        <x:v>43.724170000000001</x:v>
      </x:c>
    </x:row>
    <x:row r="67">
      <x:c r="A67" s="8" t="s">
        <x:v>24</x:v>
      </x:c>
      <x:c r="B67" s="8" t="s">
        <x:v>25</x:v>
      </x:c>
      <x:c r="C67" s="8" t="s">
        <x:v>147</x:v>
      </x:c>
      <x:c r="D67" s="8" t="s">
        <x:v>148</x:v>
      </x:c>
      <x:c r="E67" s="8" t="s">
        <x:v>50</x:v>
      </x:c>
      <x:c r="F67" s="8" t="s">
        <x:v>20</x:v>
      </x:c>
      <x:c r="G67" s="8" t="s">
        <x:v>21</x:v>
      </x:c>
      <x:c r="H67" s="8" t="s">
        <x:v>99</x:v>
      </x:c>
      <x:c r="I67" s="44">
        <x:v>1087.68</x:v>
      </x:c>
      <x:c r="J67" s="44">
        <x:v>152.27000000000001</x:v>
      </x:c>
      <x:c r="K67" s="8" t="s">
        <x:v>30</x:v>
      </x:c>
      <x:c r="L67" s="44">
        <x:v>129.42950000000002</x:v>
      </x:c>
      <x:c r="M67" s="44">
        <x:v>2.5885900000000004</x:v>
      </x:c>
      <x:c r="N67" s="44">
        <x:v>126.84091000000002</x:v>
      </x:c>
    </x:row>
    <x:row r="68">
      <x:c r="A68" s="8" t="s">
        <x:v>24</x:v>
      </x:c>
      <x:c r="B68" s="8" t="s">
        <x:v>25</x:v>
      </x:c>
      <x:c r="C68" s="8" t="s">
        <x:v>149</x:v>
      </x:c>
      <x:c r="D68" s="8" t="s">
        <x:v>150</x:v>
      </x:c>
      <x:c r="E68" s="8" t="s">
        <x:v>57</x:v>
      </x:c>
      <x:c r="F68" s="8" t="s">
        <x:v>20</x:v>
      </x:c>
      <x:c r="G68" s="8" t="s">
        <x:v>21</x:v>
      </x:c>
      <x:c r="H68" s="8" t="s">
        <x:v>99</x:v>
      </x:c>
      <x:c r="I68" s="44">
        <x:v>239.34</x:v>
      </x:c>
      <x:c r="J68" s="44">
        <x:v>43.1</x:v>
      </x:c>
      <x:c r="K68" s="8" t="s">
        <x:v>30</x:v>
      </x:c>
      <x:c r="L68" s="44">
        <x:v>36.634999999999998</x:v>
      </x:c>
      <x:c r="M68" s="44">
        <x:v>0.73270000000000002</x:v>
      </x:c>
      <x:c r="N68" s="44">
        <x:v>35.902299999999997</x:v>
      </x:c>
    </x:row>
    <x:row r="69">
      <x:c r="A69" s="8" t="s">
        <x:v>24</x:v>
      </x:c>
      <x:c r="B69" s="8" t="s">
        <x:v>25</x:v>
      </x:c>
      <x:c r="C69" s="8" t="s">
        <x:v>151</x:v>
      </x:c>
      <x:c r="D69" s="8" t="s">
        <x:v>152</x:v>
      </x:c>
      <x:c r="E69" s="8" t="s">
        <x:v>57</x:v>
      </x:c>
      <x:c r="F69" s="8" t="s">
        <x:v>20</x:v>
      </x:c>
      <x:c r="G69" s="8" t="s">
        <x:v>21</x:v>
      </x:c>
      <x:c r="H69" s="8" t="s">
        <x:v>99</x:v>
      </x:c>
      <x:c r="I69" s="44">
        <x:v>334.44</x:v>
      </x:c>
      <x:c r="J69" s="44">
        <x:v>50.17</x:v>
      </x:c>
      <x:c r="K69" s="8" t="s">
        <x:v>30</x:v>
      </x:c>
      <x:c r="L69" s="44">
        <x:v>42.644500000000001</x:v>
      </x:c>
      <x:c r="M69" s="44">
        <x:v>0.85289000000000004</x:v>
      </x:c>
      <x:c r="N69" s="44">
        <x:v>41.791609999999999</x:v>
      </x:c>
    </x:row>
    <x:row r="70">
      <x:c r="A70" s="8" t="s">
        <x:v>24</x:v>
      </x:c>
      <x:c r="B70" s="8" t="s">
        <x:v>25</x:v>
      </x:c>
      <x:c r="C70" s="8" t="s">
        <x:v>153</x:v>
      </x:c>
      <x:c r="D70" s="8" t="s">
        <x:v>154</x:v>
      </x:c>
      <x:c r="E70" s="8" t="s">
        <x:v>19</x:v>
      </x:c>
      <x:c r="F70" s="8" t="s">
        <x:v>20</x:v>
      </x:c>
      <x:c r="G70" s="8" t="s">
        <x:v>21</x:v>
      </x:c>
      <x:c r="H70" s="8" t="s">
        <x:v>99</x:v>
      </x:c>
      <x:c r="I70" s="44">
        <x:v>96.33</x:v>
      </x:c>
      <x:c r="J70" s="44">
        <x:v>20.23</x:v>
      </x:c>
      <x:c r="K70" s="8" t="s">
        <x:v>30</x:v>
      </x:c>
      <x:c r="L70" s="44">
        <x:v>17.195499999999999</x:v>
      </x:c>
      <x:c r="M70" s="44">
        <x:v>0.34390999999999999</x:v>
      </x:c>
      <x:c r="N70" s="44">
        <x:v>16.851589999999998</x:v>
      </x:c>
    </x:row>
    <x:row r="71">
      <x:c r="A71" s="8" t="s">
        <x:v>24</x:v>
      </x:c>
      <x:c r="B71" s="8" t="s">
        <x:v>25</x:v>
      </x:c>
      <x:c r="C71" s="8" t="s">
        <x:v>155</x:v>
      </x:c>
      <x:c r="D71" s="8" t="s">
        <x:v>156</x:v>
      </x:c>
      <x:c r="E71" s="8" t="s">
        <x:v>19</x:v>
      </x:c>
      <x:c r="F71" s="8" t="s">
        <x:v>20</x:v>
      </x:c>
      <x:c r="G71" s="8" t="s">
        <x:v>21</x:v>
      </x:c>
      <x:c r="H71" s="8" t="s">
        <x:v>99</x:v>
      </x:c>
      <x:c r="I71" s="44">
        <x:v>2277.3000000000002</x:v>
      </x:c>
      <x:c r="J71" s="44">
        <x:v>478.24</x:v>
      </x:c>
      <x:c r="K71" s="8" t="s">
        <x:v>30</x:v>
      </x:c>
      <x:c r="L71" s="44">
        <x:v>406.50400000000002</x:v>
      </x:c>
      <x:c r="M71" s="44">
        <x:v>8.1300800000000013</x:v>
      </x:c>
      <x:c r="N71" s="44">
        <x:v>398.37392</x:v>
      </x:c>
    </x:row>
    <x:row r="72">
      <x:c r="A72" s="8" t="s">
        <x:v>24</x:v>
      </x:c>
      <x:c r="B72" s="8" t="s">
        <x:v>25</x:v>
      </x:c>
      <x:c r="C72" s="8" t="s">
        <x:v>157</x:v>
      </x:c>
      <x:c r="D72" s="8" t="s">
        <x:v>158</x:v>
      </x:c>
      <x:c r="E72" s="8" t="s">
        <x:v>19</x:v>
      </x:c>
      <x:c r="F72" s="8" t="s">
        <x:v>20</x:v>
      </x:c>
      <x:c r="G72" s="8" t="s">
        <x:v>21</x:v>
      </x:c>
      <x:c r="H72" s="8" t="s">
        <x:v>99</x:v>
      </x:c>
      <x:c r="I72" s="44">
        <x:v>82.42</x:v>
      </x:c>
      <x:c r="J72" s="44">
        <x:v>17.32</x:v>
      </x:c>
      <x:c r="K72" s="8" t="s">
        <x:v>30</x:v>
      </x:c>
      <x:c r="L72" s="44">
        <x:v>14.722</x:v>
      </x:c>
      <x:c r="M72" s="44">
        <x:v>0.29443999999999998</x:v>
      </x:c>
      <x:c r="N72" s="44">
        <x:v>14.42756</x:v>
      </x:c>
    </x:row>
    <x:row r="73">
      <x:c r="A73" s="8" t="s">
        <x:v>24</x:v>
      </x:c>
      <x:c r="B73" s="8" t="s">
        <x:v>25</x:v>
      </x:c>
      <x:c r="C73" s="8" t="s">
        <x:v>159</x:v>
      </x:c>
      <x:c r="D73" s="8" t="s">
        <x:v>160</x:v>
      </x:c>
      <x:c r="E73" s="8" t="s">
        <x:v>85</x:v>
      </x:c>
      <x:c r="F73" s="8" t="s">
        <x:v>20</x:v>
      </x:c>
      <x:c r="G73" s="8" t="s">
        <x:v>21</x:v>
      </x:c>
      <x:c r="H73" s="8" t="s">
        <x:v>99</x:v>
      </x:c>
      <x:c r="I73" s="44">
        <x:v>47.12</x:v>
      </x:c>
      <x:c r="J73" s="44">
        <x:v>6.13</x:v>
      </x:c>
      <x:c r="K73" s="8" t="s">
        <x:v>30</x:v>
      </x:c>
      <x:c r="L73" s="44">
        <x:v>5.2104999999999997</x:v>
      </x:c>
      <x:c r="M73" s="44">
        <x:v>0.10421</x:v>
      </x:c>
      <x:c r="N73" s="44">
        <x:v>5.1062899999999996</x:v>
      </x:c>
    </x:row>
    <x:row r="74">
      <x:c r="A74" s="8" t="s">
        <x:v>24</x:v>
      </x:c>
      <x:c r="B74" s="8" t="s">
        <x:v>25</x:v>
      </x:c>
      <x:c r="C74" s="8" t="s">
        <x:v>159</x:v>
      </x:c>
      <x:c r="D74" s="8" t="s">
        <x:v>86</x:v>
      </x:c>
      <x:c r="E74" s="8" t="s">
        <x:v>85</x:v>
      </x:c>
      <x:c r="F74" s="8" t="s">
        <x:v>20</x:v>
      </x:c>
      <x:c r="G74" s="8" t="s">
        <x:v>21</x:v>
      </x:c>
      <x:c r="H74" s="8" t="s">
        <x:v>99</x:v>
      </x:c>
      <x:c r="I74" s="44">
        <x:v>4.67</x:v>
      </x:c>
      <x:c r="J74" s="44">
        <x:v>0.61</x:v>
      </x:c>
      <x:c r="K74" s="8" t="s">
        <x:v>30</x:v>
      </x:c>
      <x:c r="L74" s="44">
        <x:v>0.51849999999999996</x:v>
      </x:c>
      <x:c r="M74" s="44">
        <x:v>1.0369999999999999E-2</x:v>
      </x:c>
      <x:c r="N74" s="44">
        <x:v>0.50812999999999997</x:v>
      </x:c>
    </x:row>
    <x:row r="75">
      <x:c r="A75" s="8" t="s">
        <x:v>24</x:v>
      </x:c>
      <x:c r="B75" s="8" t="s">
        <x:v>25</x:v>
      </x:c>
      <x:c r="C75" s="8" t="s">
        <x:v>161</x:v>
      </x:c>
      <x:c r="D75" s="8" t="s">
        <x:v>162</x:v>
      </x:c>
      <x:c r="E75" s="8" t="s">
        <x:v>85</x:v>
      </x:c>
      <x:c r="F75" s="8" t="s">
        <x:v>20</x:v>
      </x:c>
      <x:c r="G75" s="8" t="s">
        <x:v>21</x:v>
      </x:c>
      <x:c r="H75" s="8" t="s">
        <x:v>99</x:v>
      </x:c>
      <x:c r="I75" s="44">
        <x:v>369.12</x:v>
      </x:c>
      <x:c r="J75" s="44">
        <x:v>47.99</x:v>
      </x:c>
      <x:c r="K75" s="8" t="s">
        <x:v>30</x:v>
      </x:c>
      <x:c r="L75" s="44">
        <x:v>40.791499999999999</x:v>
      </x:c>
      <x:c r="M75" s="44">
        <x:v>0.81583000000000006</x:v>
      </x:c>
      <x:c r="N75" s="44">
        <x:v>39.975670000000001</x:v>
      </x:c>
    </x:row>
    <x:row r="76">
      <x:c r="J76" s="45" t="s">
        <x:v>91</x:v>
      </x:c>
      <x:c r="K76" s="45"/>
      <x:c r="L76" s="45" t="n">
        <x:f>SUM(L42:L75)</x:f>
        <x:v>3630.6130000000007</x:v>
      </x:c>
      <x:c r="M76" s="45"/>
      <x:c r="N76" s="45"/>
    </x:row>
    <x:row r="77">
      <x:c r="J77" s="45" t="s">
        <x:v>92</x:v>
      </x:c>
      <x:c r="K77" s="45"/>
      <x:c r="L77" s="45" t="n">
        <x:f>+L76*13%</x:f>
        <x:v>471.9796900000001</x:v>
      </x:c>
      <x:c r="M77" s="45"/>
      <x:c r="N77" s="45"/>
    </x:row>
    <x:row r="78">
      <x:c r="J78" s="46" t="s">
        <x:v>93</x:v>
      </x:c>
      <x:c r="K78" s="46"/>
      <x:c r="L78" s="46" t="n">
        <x:f>+L76+L77</x:f>
        <x:v>4102.592690000001</x:v>
      </x:c>
      <x:c r="M78" s="46"/>
      <x:c r="N78" s="46"/>
    </x:row>
    <x:row r="79">
      <x:c r="J79" s="45" t="s">
        <x:v>94</x:v>
      </x:c>
      <x:c r="K79" s="45"/>
      <x:c r="L79" s="45" t="n">
        <x:f>+L76*2%</x:f>
        <x:v>72.61226000000002</x:v>
      </x:c>
      <x:c r="M79" s="45"/>
      <x:c r="N79" s="45"/>
    </x:row>
    <x:row r="80">
      <x:c r="J80" s="45" t="s">
        <x:v>95</x:v>
      </x:c>
      <x:c r="K80" s="45"/>
      <x:c r="L80" s="45" t="n">
        <x:f>+L78-L79</x:f>
        <x:v>4029.9804300000014</x:v>
      </x:c>
      <x:c r="M80" s="45"/>
      <x:c r="N80" s="45"/>
    </x:row>
  </x:sheetData>
  <x:mergeCells>
    <x:mergeCell ref="J80:K80"/>
    <x:mergeCell ref="L80:N80"/>
    <x:mergeCell ref="J77:K77"/>
    <x:mergeCell ref="L77:N77"/>
    <x:mergeCell ref="J78:K78"/>
    <x:mergeCell ref="L78:N78"/>
    <x:mergeCell ref="J79:K79"/>
    <x:mergeCell ref="L79:N79"/>
    <x:mergeCell ref="J38:K38"/>
    <x:mergeCell ref="L38:N38"/>
    <x:mergeCell ref="J39:K39"/>
    <x:mergeCell ref="L39:N39"/>
    <x:mergeCell ref="J76:K76"/>
    <x:mergeCell ref="L76:N76"/>
    <x:mergeCell ref="J35:K35"/>
    <x:mergeCell ref="L35:N35"/>
    <x:mergeCell ref="J36:K36"/>
    <x:mergeCell ref="L36:N36"/>
    <x:mergeCell ref="J37:K37"/>
    <x:mergeCell ref="L37:N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1.42578125" defaultRowHeight="15"/>
  <x:cols>
    <x:col min="5" max="5" width="25.85546875" customWidth="1"/>
    <x:col min="6" max="6" width="15.85546875" customWidth="1"/>
    <x:col min="7" max="7" width="12.5703125" customWidth="1"/>
    <x:col min="8" max="8" width="15.85546875" customWidth="1"/>
    <x:col min="11" max="11" width="34.42578125" customWidth="1"/>
  </x:cols>
  <x:sheetData>
    <x:row r="4">
      <x:c r="B4" s="51" t="s">
        <x:v>163</x:v>
      </x:c>
      <x:c r="C4" s="52"/>
      <x:c r="D4" s="52"/>
      <x:c r="E4" s="52"/>
      <x:c r="F4" s="53"/>
      <x:c r="H4" s="51" t="str">
        <x:f>+B4</x:f>
        <x:v>RESUMEN DE PAGOS -IQ Julio</x:v>
      </x:c>
      <x:c r="I4" s="52"/>
      <x:c r="J4" s="52"/>
      <x:c r="K4" s="52"/>
      <x:c r="L4" s="53"/>
    </x:row>
    <x:row r="5">
      <x:c r="B5" s="54"/>
      <x:c r="C5" s="55"/>
      <x:c r="D5" s="55"/>
      <x:c r="E5" s="55"/>
      <x:c r="F5" s="56"/>
      <x:c r="H5" s="54"/>
      <x:c r="I5" s="55"/>
      <x:c r="J5" s="55"/>
      <x:c r="K5" s="55"/>
      <x:c r="L5" s="56"/>
    </x:row>
    <x:row r="6">
      <x:c r="B6" s="57" t="s">
        <x:v>164</x:v>
      </x:c>
      <x:c r="C6" s="59"/>
      <x:c r="D6" s="58"/>
      <x:c r="E6" s="57" t="s">
        <x:v>165</x:v>
      </x:c>
      <x:c r="F6" s="58"/>
      <x:c r="H6" s="57" t="s">
        <x:v>164</x:v>
      </x:c>
      <x:c r="I6" s="59"/>
      <x:c r="J6" s="58"/>
      <x:c r="K6" s="57" t="s">
        <x:v>166</x:v>
      </x:c>
      <x:c r="L6" s="58"/>
    </x:row>
    <x:row r="7">
      <x:c r="B7" s="47" t="s">
        <x:v>167</x:v>
      </x:c>
      <x:c r="C7" s="47"/>
      <x:c r="D7" s="48"/>
      <x:c r="E7" s="1" t="s">
        <x:v>91</x:v>
      </x:c>
      <x:c r="F7" s="2" t="n">
        <x:f>Detalle!L35</x:f>
        <x:v>224299.25800000003</x:v>
      </x:c>
      <x:c r="H7" s="47" t="s">
        <x:v>168</x:v>
      </x:c>
      <x:c r="I7" s="47"/>
      <x:c r="J7" s="48"/>
      <x:c r="K7" s="1" t="s">
        <x:v>91</x:v>
      </x:c>
      <x:c r="L7" s="2" t="n">
        <x:f>Detalle!L76</x:f>
        <x:v>3630.6130000000007</x:v>
      </x:c>
    </x:row>
    <x:row r="8">
      <x:c r="B8" s="49"/>
      <x:c r="C8" s="49"/>
      <x:c r="D8" s="50"/>
      <x:c r="E8" s="1" t="s">
        <x:v>92</x:v>
      </x:c>
      <x:c r="F8" s="2" t="n">
        <x:f>+F7*13%</x:f>
        <x:v>29158.903540000007</x:v>
      </x:c>
      <x:c r="H8" s="49"/>
      <x:c r="I8" s="49"/>
      <x:c r="J8" s="50"/>
      <x:c r="K8" s="3" t="s">
        <x:v>169</x:v>
      </x:c>
      <x:c r="L8" s="4" t="n">
        <x:f>REBAJO!D7</x:f>
        <x:v>669.048309178744</x:v>
      </x:c>
    </x:row>
    <x:row r="9">
      <x:c r="B9" s="49"/>
      <x:c r="C9" s="49"/>
      <x:c r="D9" s="50"/>
      <x:c r="E9" s="3" t="s">
        <x:v>93</x:v>
      </x:c>
      <x:c r="F9" s="4" t="n">
        <x:f>F7+F8</x:f>
        <x:v>253458.16154000003</x:v>
      </x:c>
      <x:c r="H9" s="49"/>
      <x:c r="I9" s="49"/>
      <x:c r="J9" s="50"/>
      <x:c r="K9" t="s">
        <x:v>170</x:v>
      </x:c>
      <x:c r="L9" s="2" t="n">
        <x:f>L7-L8</x:f>
        <x:v>2961.5646908212566</x:v>
      </x:c>
    </x:row>
    <x:row r="10">
      <x:c r="B10" s="49"/>
      <x:c r="C10" s="49"/>
      <x:c r="D10" s="50"/>
      <x:c r="E10" s="1" t="s">
        <x:v>94</x:v>
      </x:c>
      <x:c r="F10" s="2" t="n">
        <x:f>F7*2%</x:f>
        <x:v>4485.985160000001</x:v>
      </x:c>
      <x:c r="H10" s="49"/>
      <x:c r="I10" s="49"/>
      <x:c r="J10" s="50"/>
      <x:c r="K10" s="1" t="s">
        <x:v>92</x:v>
      </x:c>
      <x:c r="L10" s="2" t="n">
        <x:f>+L9*13%</x:f>
        <x:v>385.0034098067634</x:v>
      </x:c>
    </x:row>
    <x:row r="11">
      <x:c r="B11" s="49"/>
      <x:c r="C11" s="49"/>
      <x:c r="D11" s="50"/>
      <x:c r="E11" s="1" t="s">
        <x:v>95</x:v>
      </x:c>
      <x:c r="F11" s="6" t="n">
        <x:f>+F9-F10</x:f>
        <x:v>248972.17638000002</x:v>
      </x:c>
      <x:c r="H11" s="49"/>
      <x:c r="I11" s="49"/>
      <x:c r="J11" s="50"/>
      <x:c r="K11" s="3" t="s">
        <x:v>93</x:v>
      </x:c>
      <x:c r="L11" s="4" t="n">
        <x:f>+L9+L10</x:f>
        <x:v>3346.56810062802</x:v>
      </x:c>
    </x:row>
    <x:row r="12">
      <x:c r="F12" s="7"/>
      <x:c r="H12" s="49"/>
      <x:c r="I12" s="49"/>
      <x:c r="J12" s="50"/>
      <x:c r="K12" s="1" t="s">
        <x:v>94</x:v>
      </x:c>
      <x:c r="L12" s="2" t="n">
        <x:f>+L9*2%</x:f>
        <x:v>59.231293816425136</x:v>
      </x:c>
    </x:row>
    <x:row r="13">
      <x:c r="F13" s="7"/>
      <x:c r="H13" s="49"/>
      <x:c r="I13" s="49"/>
      <x:c r="J13" s="50"/>
      <x:c r="K13" s="3" t="s">
        <x:v>171</x:v>
      </x:c>
      <x:c r="L13" s="4" t="n">
        <x:f>136.23</x:f>
        <x:v>136.23</x:v>
      </x:c>
    </x:row>
    <x:row r="14">
      <x:c r="H14" s="49"/>
      <x:c r="I14" s="49"/>
      <x:c r="J14" s="50"/>
      <x:c r="K14" s="1" t="s">
        <x:v>95</x:v>
      </x:c>
      <x:c r="L14" s="2" t="n">
        <x:f>+L11-L12-L13</x:f>
        <x:v>3151.106806811595</x:v>
      </x:c>
    </x:row>
  </x:sheetData>
  <x:mergeCells>
    <x:mergeCell ref="B7:D11"/>
    <x:mergeCell ref="H7:J14"/>
    <x:mergeCell ref="B4:F5"/>
    <x:mergeCell ref="H4:L5"/>
    <x:mergeCell ref="E6:F6"/>
    <x:mergeCell ref="B6:D6"/>
    <x:mergeCell ref="H6:J6"/>
    <x:mergeCell ref="K6:L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1" width="27.5703125" customWidth="1"/>
    <x:col min="2" max="2" width="28" customWidth="1"/>
    <x:col min="3" max="3" width="25.140625" customWidth="1"/>
    <x:col min="4" max="4" width="14.42578125" customWidth="1"/>
    <x:col min="5" max="5" width="19.5703125" customWidth="1"/>
    <x:col min="6" max="6" width="15" customWidth="1"/>
    <x:col min="7" max="7" width="19.28515625" customWidth="1"/>
    <x:col min="8" max="8" width="13.42578125" customWidth="1"/>
    <x:col min="9" max="9" width="13.28515625" customWidth="1"/>
    <x:col min="10" max="10" width="13.140625" customWidth="1"/>
    <x:col min="11" max="11" width="13.28515625" customWidth="1"/>
    <x:col min="12" max="12" width="13.140625" customWidth="1"/>
    <x:col min="13" max="13" width="8.5703125" customWidth="1"/>
    <x:col min="14" max="14" width="52.7109375" customWidth="1"/>
  </x:cols>
  <x:sheetData>
    <x:row r="1">
      <x:c r="A1" s="60" t="s">
        <x:v>172</x:v>
      </x:c>
      <x:c r="B1" s="61"/>
      <x:c r="C1" s="61"/>
      <x:c r="D1" s="61"/>
      <x:c r="E1" s="62"/>
      <x:c r="F1" t="n">
        <x:v>460</x:v>
      </x:c>
      <x:c r="G1" t="str">
        <x:v>TC FIJO</x:v>
      </x:c>
    </x:row>
    <x:row r="2">
      <x:c r="A2" s="20"/>
      <x:c r="B2" s="21"/>
      <x:c r="C2" s="22" t="s">
        <x:v>173</x:v>
      </x:c>
      <x:c r="D2" s="22" t="s">
        <x:v>174</x:v>
      </x:c>
      <x:c r="E2" s="23"/>
    </x:row>
    <x:row r="3">
      <x:c r="A3" s="15"/>
      <x:c r="B3" s="15" t="str">
        <x:f>A15</x:f>
        <x:v>Yerika Vega</x:v>
      </x:c>
      <x:c r="C3" s="5" t="n">
        <x:f>I15</x:f>
        <x:v>615524.4444444445</x:v>
      </x:c>
      <x:c r="D3" s="5" t="n">
        <x:f>J15</x:f>
        <x:v>307762.22222222225</x:v>
      </x:c>
    </x:row>
    <x:row r="4">
      <x:c r="B4" s="22" t="s">
        <x:v>175</x:v>
      </x:c>
      <x:c r="C4" s="24"/>
      <x:c r="D4" s="25" t="n">
        <x:f>SUM(D3:D3)</x:f>
        <x:v>307762.22222222225</x:v>
      </x:c>
      <x:c r="E4" s="24"/>
    </x:row>
    <x:row r="5">
      <x:c r="B5" s="26" t="s">
        <x:v>176</x:v>
      </x:c>
      <x:c r="C5" s="27"/>
      <x:c r="D5" s="28"/>
      <x:c r="E5" s="27"/>
    </x:row>
    <x:row r="6">
      <x:c r="B6" s="26" t="s">
        <x:v>177</x:v>
      </x:c>
      <x:c r="C6" s="27"/>
      <x:c r="D6" s="28" t="n">
        <x:f>+D4-D5</x:f>
        <x:v>307762.22222222225</x:v>
      </x:c>
      <x:c r="E6" s="27"/>
      <x:c r="G6" s="13"/>
      <x:c r="H6" s="29"/>
      <x:c r="I6" s="30"/>
    </x:row>
    <x:row r="7">
      <x:c r="B7" s="31" t="s">
        <x:v>178</x:v>
      </x:c>
      <x:c r="C7" s="32"/>
      <x:c r="D7" s="33" t="n">
        <x:f>+D6/F1</x:f>
        <x:v>669.048309178744</x:v>
      </x:c>
      <x:c r="E7" s="32"/>
    </x:row>
    <x:row r="8">
      <x:c r="B8" s="26" t="s">
        <x:v>179</x:v>
      </x:c>
      <x:c r="C8" s="27"/>
      <x:c r="D8" s="34" t="n">
        <x:f>'Monto de factura'!F7</x:f>
        <x:v>224299.25800000003</x:v>
      </x:c>
      <x:c r="E8" s="27"/>
    </x:row>
    <x:row r="9">
      <x:c r="B9" s="26" t="s">
        <x:v>180</x:v>
      </x:c>
      <x:c r="C9" s="27"/>
      <x:c r="D9" s="34" t="n">
        <x:f>+D6-D8</x:f>
        <x:v>83462.96422222222</x:v>
      </x:c>
      <x:c r="E9" s="27"/>
    </x:row>
    <x:row r="10">
      <x:c r="B10" s="35" t="s">
        <x:v>181</x:v>
      </x:c>
      <x:c r="C10" s="14"/>
      <x:c r="D10" s="36" t="n">
        <x:f>+D9/F1</x:f>
        <x:v>181.4412265700483</x:v>
      </x:c>
      <x:c r="E10" s="14"/>
    </x:row>
    <x:row r="11">
      <x:c r="B11" s="12"/>
      <x:c r="D11" s="30"/>
    </x:row>
    <x:row r="12">
      <x:c r="C12" s="15"/>
      <x:c r="E12" s="16"/>
      <x:c r="L12" s="12"/>
    </x:row>
    <x:row r="13">
      <x:c r="A13" s="37"/>
      <x:c r="B13" s="24"/>
      <x:c r="C13" s="38">
        <x:v>0.26669999999999999</x:v>
      </x:c>
      <x:c r="D13" s="39" t="n">
        <x:f>+D15/B15</x:f>
        <x:v>0.08333333333333334</x:v>
      </x:c>
      <x:c r="E13" s="38">
        <x:v>1.0999999999999999E-2</x:v>
      </x:c>
      <x:c r="F13" s="38" t="n">
        <x:f>+F15/B15</x:f>
        <x:v>0.03888888888888889</x:v>
      </x:c>
      <x:c r="G13" s="39" t="n">
        <x:f>+G15/B15</x:f>
        <x:v>0.08333333333333334</x:v>
      </x:c>
      <x:c r="H13" s="39" t="n">
        <x:f>+H15/B15</x:f>
        <x:v>0.05555555555555556</x:v>
      </x:c>
      <x:c r="I13" s="24"/>
      <x:c r="J13" s="24"/>
    </x:row>
    <x:row r="14">
      <x:c r="A14" s="37"/>
      <x:c r="B14" s="40" t="s">
        <x:v>182</x:v>
      </x:c>
      <x:c r="C14" s="40" t="s">
        <x:v>183</x:v>
      </x:c>
      <x:c r="D14" s="40" t="s">
        <x:v>184</x:v>
      </x:c>
      <x:c r="E14" s="40" t="s">
        <x:v>28</x:v>
      </x:c>
      <x:c r="F14" s="40" t="s">
        <x:v>185</x:v>
      </x:c>
      <x:c r="G14" s="40" t="s">
        <x:v>186</x:v>
      </x:c>
      <x:c r="H14" s="40" t="s">
        <x:v>187</x:v>
      </x:c>
      <x:c r="I14" s="40" t="s">
        <x:v>188</x:v>
      </x:c>
      <x:c r="J14" s="40" t="s">
        <x:v>189</x:v>
      </x:c>
    </x:row>
    <x:row r="15">
      <x:c r="A15" s="15" t="s">
        <x:v>190</x:v>
      </x:c>
      <x:c r="B15" s="16" t="n">
        <x:f>400000</x:f>
        <x:v>400000</x:v>
      </x:c>
      <x:c r="C15" s="16" t="n">
        <x:f>+B15*$C$13</x:f>
        <x:v>106680</x:v>
      </x:c>
      <x:c r="D15" s="16" t="n">
        <x:f>+B15/12</x:f>
        <x:v>33333.333333333336</x:v>
      </x:c>
      <x:c r="E15" s="16" t="n">
        <x:f>+B15*$E$13</x:f>
        <x:v>4400</x:v>
      </x:c>
      <x:c r="F15" s="16" t="n">
        <x:f>+((B15/30)*14)/12</x:f>
        <x:v>15555.555555555557</x:v>
      </x:c>
      <x:c r="G15" s="16" t="n">
        <x:f>+B15/12</x:f>
        <x:v>33333.333333333336</x:v>
      </x:c>
      <x:c r="H15" s="16" t="n">
        <x:f>+(B15/30*20)/12</x:f>
        <x:v>22222.222222222223</x:v>
      </x:c>
      <x:c r="I15" s="42" t="n">
        <x:f>SUM(B15:H15)</x:f>
        <x:v>615524.4444444445</x:v>
      </x:c>
      <x:c r="J15" s="43" t="n">
        <x:f>I15/2</x:f>
        <x:v>307762.22222222225</x:v>
      </x:c>
    </x:row>
    <x:row r="16">
      <x:c r="A16" s="15"/>
      <x:c r="B16" s="17" t="s">
        <x:v>191</x:v>
      </x:c>
      <x:c r="C16" s="17" t="s">
        <x:v>191</x:v>
      </x:c>
      <x:c r="D16" s="17" t="s">
        <x:v>191</x:v>
      </x:c>
      <x:c r="E16" s="17" t="s">
        <x:v>191</x:v>
      </x:c>
      <x:c r="F16" s="17" t="s">
        <x:v>192</x:v>
      </x:c>
      <x:c r="G16" s="17" t="s">
        <x:v>192</x:v>
      </x:c>
      <x:c r="H16" s="17" t="s">
        <x:v>192</x:v>
      </x:c>
    </x:row>
    <x:row r="17">
      <x:c r="A17" s="15"/>
      <x:c r="C17" s="16"/>
      <x:c r="D17" s="41"/>
    </x:row>
    <x:row r="18">
      <x:c r="A18" s="15"/>
      <x:c r="C18" s="19" t="n">
        <x:f>SUM(C15:C17)</x:f>
        <x:v>106680</x:v>
      </x:c>
      <x:c r="D18" s="41"/>
    </x:row>
    <x:row r="19">
      <x:c r="C19" s="15"/>
      <x:c r="E19" s="16"/>
      <x:c r="F19" s="41"/>
    </x:row>
    <x:row r="21">
      <x:c r="D21" s="18"/>
    </x:row>
    <x:row r="22">
      <x:c r="C22" s="18"/>
    </x:row>
    <x:row r="24">
      <x:c r="C24" s="18"/>
    </x:row>
  </x:sheetData>
  <x:mergeCells>
    <x:mergeCell ref="A1:E1"/>
  </x:mergeCells>
  <x:pageMargins left="0.7" right="0.7" top="0.75" bottom="0.75" header="0.3" footer="0.3"/>
</x:worksheet>
</file>