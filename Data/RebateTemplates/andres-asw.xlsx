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gie\Downloads\Sistema\Sistema\Excel especiales\"/>
    </mc:Choice>
  </mc:AlternateContent>
  <xr:revisionPtr revIDLastSave="0" documentId="13_ncr:1_{30264D79-F31D-43D3-94A6-8B24C38B9C7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lle" sheetId="1" r:id="rId1"/>
    <sheet name="Monto de factura" sheetId="2" r:id="rId2"/>
    <sheet name="REBAJ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10" i="3"/>
  <c r="D8" i="3"/>
  <c r="D6" i="3"/>
  <c r="C23" i="3"/>
  <c r="L9" i="2"/>
  <c r="L7" i="2"/>
  <c r="F7" i="2"/>
  <c r="L179" i="1"/>
  <c r="L55" i="1"/>
  <c r="L58" i="1" s="1"/>
  <c r="L180" i="1" l="1"/>
  <c r="L181" i="1" s="1"/>
  <c r="L183" i="1" s="1"/>
  <c r="L182" i="1"/>
  <c r="L56" i="1"/>
  <c r="L57" i="1" s="1"/>
  <c r="L59" i="1" s="1"/>
  <c r="B18" i="3" l="1"/>
  <c r="D3" i="3"/>
  <c r="D11" i="3" l="1"/>
  <c r="D12" i="3" s="1"/>
  <c r="L8" i="2" s="1"/>
  <c r="L10" i="2" s="1"/>
  <c r="C5" i="3"/>
  <c r="D5" i="3"/>
  <c r="J19" i="3"/>
  <c r="H19" i="3"/>
  <c r="G19" i="3"/>
  <c r="F19" i="3"/>
  <c r="E19" i="3"/>
  <c r="D19" i="3"/>
  <c r="C19" i="3"/>
  <c r="F17" i="3"/>
  <c r="D17" i="3"/>
  <c r="L11" i="2" l="1"/>
  <c r="L12" i="2"/>
  <c r="F8" i="2"/>
  <c r="F9" i="2" s="1"/>
  <c r="I19" i="3"/>
  <c r="D18" i="3"/>
  <c r="C18" i="3"/>
  <c r="H18" i="3" l="1"/>
  <c r="G18" i="3"/>
  <c r="F18" i="3"/>
  <c r="E18" i="3"/>
  <c r="B4" i="3"/>
  <c r="I18" i="3" l="1"/>
  <c r="D15" i="3"/>
  <c r="L13" i="2" l="1"/>
  <c r="J18" i="3"/>
  <c r="D4" i="3" s="1"/>
  <c r="C4" i="3"/>
  <c r="B3" i="3"/>
  <c r="L14" i="2" l="1"/>
  <c r="C17" i="3"/>
  <c r="E17" i="3"/>
  <c r="F15" i="3"/>
  <c r="G17" i="3"/>
  <c r="G15" i="3" s="1"/>
  <c r="H17" i="3"/>
  <c r="H15" i="3" s="1"/>
  <c r="I17" i="3" l="1"/>
  <c r="J17" i="3" s="1"/>
  <c r="H4" i="2"/>
  <c r="C3" i="3" l="1"/>
  <c r="F10" i="2" l="1"/>
  <c r="F11" i="2" s="1"/>
  <c r="F12" i="2"/>
  <c r="F13" i="2" l="1"/>
</calcChain>
</file>

<file path=xl/sharedStrings.xml><?xml version="1.0" encoding="utf-8"?>
<sst xmlns="http://schemas.openxmlformats.org/spreadsheetml/2006/main" count="1614" uniqueCount="340">
  <si>
    <t xml:space="preserve">Corredor </t>
  </si>
  <si>
    <t xml:space="preserve">Monto depositado </t>
  </si>
  <si>
    <t>Monto Factura</t>
  </si>
  <si>
    <t xml:space="preserve">COLONES </t>
  </si>
  <si>
    <t>Monto bruto comison</t>
  </si>
  <si>
    <t>I.V.A</t>
  </si>
  <si>
    <t>Retencion 2%</t>
  </si>
  <si>
    <t>DOLARES</t>
  </si>
  <si>
    <t>INS</t>
  </si>
  <si>
    <t>ANDRES SEGURU</t>
  </si>
  <si>
    <t>REBAJOS:</t>
  </si>
  <si>
    <t>SUBTOTAL:</t>
  </si>
  <si>
    <t>REBAJO QUINCENAL POR CONCEPTO DE PAGO DE SALARIOS</t>
  </si>
  <si>
    <t>TOTAL MENSUAL</t>
  </si>
  <si>
    <t>QUINCENAL</t>
  </si>
  <si>
    <t>TOTAL REBAJO QUINCENAL</t>
  </si>
  <si>
    <t>MONTO EN DOLARES</t>
  </si>
  <si>
    <t>Salario</t>
  </si>
  <si>
    <t>CCSS</t>
  </si>
  <si>
    <t>Aguinaldo</t>
  </si>
  <si>
    <t>Vacaciones</t>
  </si>
  <si>
    <t>Preaviso</t>
  </si>
  <si>
    <t>Cesantía</t>
  </si>
  <si>
    <t>Total</t>
  </si>
  <si>
    <t>Fijo</t>
  </si>
  <si>
    <t>Estimado</t>
  </si>
  <si>
    <t>Monto a facturar:</t>
  </si>
  <si>
    <t xml:space="preserve">TOTAL REBAJO </t>
  </si>
  <si>
    <t xml:space="preserve">Monto a favor </t>
  </si>
  <si>
    <t>REBAJO EN COLONES</t>
  </si>
  <si>
    <t>REBAJO EN DOLARES</t>
  </si>
  <si>
    <t>Quincenal</t>
  </si>
  <si>
    <t>Diferencia</t>
  </si>
  <si>
    <t>JOSELYN ARAYA</t>
  </si>
  <si>
    <t>CRISTINA</t>
  </si>
  <si>
    <t>Código</t>
  </si>
  <si>
    <t>Aseguradora</t>
  </si>
  <si>
    <t>Trans.</t>
  </si>
  <si>
    <t>Categoría</t>
  </si>
  <si>
    <t>Moneda</t>
  </si>
  <si>
    <t>Prima</t>
  </si>
  <si>
    <t>% Corredor</t>
  </si>
  <si>
    <t>Total Final</t>
  </si>
  <si>
    <t>Observación</t>
  </si>
  <si>
    <t>94</t>
  </si>
  <si>
    <t>RENO</t>
  </si>
  <si>
    <t>Colones</t>
  </si>
  <si>
    <t>EMIS</t>
  </si>
  <si>
    <t>ACRE.COMIS.R.F.</t>
  </si>
  <si>
    <t>QUALITAS</t>
  </si>
  <si>
    <t>ABON</t>
  </si>
  <si>
    <t>AJUS</t>
  </si>
  <si>
    <t>Dólares</t>
  </si>
  <si>
    <t>189</t>
  </si>
  <si>
    <t>BMI</t>
  </si>
  <si>
    <t>ASSA</t>
  </si>
  <si>
    <t>Corredor</t>
  </si>
  <si>
    <t>Póliza</t>
  </si>
  <si>
    <t>Asegurado</t>
  </si>
  <si>
    <t>Comisión Bruta</t>
  </si>
  <si>
    <t>2%</t>
  </si>
  <si>
    <t>EUGENIA</t>
  </si>
  <si>
    <t xml:space="preserve">Andres  Steinberg/AS </t>
  </si>
  <si>
    <t xml:space="preserve">Andres  Steinberg/AS27 </t>
  </si>
  <si>
    <t xml:space="preserve">MNK SEGUROS </t>
  </si>
  <si>
    <t>Seguros Generales</t>
  </si>
  <si>
    <t>Seguros Personales</t>
  </si>
  <si>
    <t>Comisión Corredor</t>
  </si>
  <si>
    <t>90.00</t>
  </si>
  <si>
    <t>LAFISE</t>
  </si>
  <si>
    <t>ALINEACION ONCE ONCE SOCIEDAD DE RESPONSABILIDAD LIMITADA</t>
  </si>
  <si>
    <t>REBAJOS SALARIOS:</t>
  </si>
  <si>
    <t>CONDOMINIO COSMOPOLITAN TOWERS</t>
  </si>
  <si>
    <t>MAPFRE</t>
  </si>
  <si>
    <t>1500573259</t>
  </si>
  <si>
    <t>ABRAHAM WIEN SHECHNER</t>
  </si>
  <si>
    <t>2400764955</t>
  </si>
  <si>
    <t>MOSHE MILGRAM HOCHGELERNTER</t>
  </si>
  <si>
    <t>01-06-AUT-0094333-00</t>
  </si>
  <si>
    <t>OCC CONSTRUCTORA SOCIEDAD ANON</t>
  </si>
  <si>
    <t>JEAN PAUL GIUSTINIANI CAPRA</t>
  </si>
  <si>
    <t>09B945</t>
  </si>
  <si>
    <t>INCO CORPORATE CENTER SOCIEDAD ANONIMA</t>
  </si>
  <si>
    <t>70BC557</t>
  </si>
  <si>
    <t>09B601</t>
  </si>
  <si>
    <t>SOLUCIONES SEGURAS SSCR S.A</t>
  </si>
  <si>
    <t>70BC413</t>
  </si>
  <si>
    <t>1600596030</t>
  </si>
  <si>
    <t>DEREK CHESTER FERGUSON</t>
  </si>
  <si>
    <t>2400753133</t>
  </si>
  <si>
    <t>SERGIO ICKOWICZ FAINGEZICHT</t>
  </si>
  <si>
    <t>2500770707</t>
  </si>
  <si>
    <t>MIRTA ELENA MORALES SILVA</t>
  </si>
  <si>
    <t>02-12-IMR-0001594-02</t>
  </si>
  <si>
    <t>CONDOMINIO VERTICAL COMERCIAL</t>
  </si>
  <si>
    <t>CONDOMINIO HORIZONTAL VERTICAL</t>
  </si>
  <si>
    <t>02-12-GFL-0000517-01</t>
  </si>
  <si>
    <t>PEREZ ARAYA WARREN ALBERTO</t>
  </si>
  <si>
    <t>02-12-GFL-0000518-01</t>
  </si>
  <si>
    <t>QUIROS AGUILAR ROBERTO</t>
  </si>
  <si>
    <t>02-12-GFL-0000519-01</t>
  </si>
  <si>
    <t>STEPHENSON GUZMAN EDSON EDUARD</t>
  </si>
  <si>
    <t>02-12-GFL-0000520-01</t>
  </si>
  <si>
    <t>VARGAS BERROCAL FABIAN DAVID</t>
  </si>
  <si>
    <t>02-12-GFL-0000523-01</t>
  </si>
  <si>
    <t>GARCIA CAMPOS JORGE CARLOS</t>
  </si>
  <si>
    <t>02-12-GFL-0000524-01</t>
  </si>
  <si>
    <t>MARTINEZ DIANA LORENA</t>
  </si>
  <si>
    <t>02-12-GFL-0000525-01</t>
  </si>
  <si>
    <t>VEGA MARIN GEANINA</t>
  </si>
  <si>
    <t>02-12-GFL-0000526-01</t>
  </si>
  <si>
    <t>VARGAS NAVARRO ARNOLD</t>
  </si>
  <si>
    <t>02-12-GFL-0000527-01</t>
  </si>
  <si>
    <t>ALFARO CHINCHILLA FABIAN</t>
  </si>
  <si>
    <t>02-12-GFL-0000528-01</t>
  </si>
  <si>
    <t>MORERA ALFARO GUSTAVO ADOLFO</t>
  </si>
  <si>
    <t>02-12-GFL-0000529-01</t>
  </si>
  <si>
    <t>CARMONA MONTERO JOSE DAVID</t>
  </si>
  <si>
    <t>02-12-GFL-0000530-01</t>
  </si>
  <si>
    <t>MORA FLORES JORGE EMILIO</t>
  </si>
  <si>
    <t>02-12-GFL-0000532-01</t>
  </si>
  <si>
    <t>FLORES SALAZAR ESTEFANI PAOLA</t>
  </si>
  <si>
    <t>02-12-GFL-0000533-01</t>
  </si>
  <si>
    <t>GONZALEZ SALAS KENNETH ALBERTO</t>
  </si>
  <si>
    <t>02-12-GFL-0000534-01</t>
  </si>
  <si>
    <t>CALDERON QUIROS MARCO VINICIO</t>
  </si>
  <si>
    <t>02-12-GFL-0000535-01</t>
  </si>
  <si>
    <t>BADILLA CASCANTE HILLARY DANIE</t>
  </si>
  <si>
    <t>02-12-GFL-0000536-01</t>
  </si>
  <si>
    <t>HERRERA ALFARO MARIANA</t>
  </si>
  <si>
    <t>02-12-GFL-0000537-01</t>
  </si>
  <si>
    <t>GARCIA ARAYA GENESIS FERNANDA</t>
  </si>
  <si>
    <t>02-12-GFL-0000538-01</t>
  </si>
  <si>
    <t>NU?EZ BLANCO MONICA ANDREA</t>
  </si>
  <si>
    <t>02-12-GFL-0000540-01</t>
  </si>
  <si>
    <t>PANIAGUA MORALES ESTEBAN</t>
  </si>
  <si>
    <t>02-12-GFL-0000541-01</t>
  </si>
  <si>
    <t>FLORES SALAZAR NATHALIE FERNAN</t>
  </si>
  <si>
    <t>02-12-GFL-0000542-01</t>
  </si>
  <si>
    <t>CHAVARRIA CRUZ ORLANDO ESTEBAN</t>
  </si>
  <si>
    <t>02-12-GFL-0000543-01</t>
  </si>
  <si>
    <t>GONZALEZ CASTELLANOS MIGUEL AN</t>
  </si>
  <si>
    <t>02-12-GFL-0000556-01</t>
  </si>
  <si>
    <t>HAMILTON CRISTIAN ANDRES</t>
  </si>
  <si>
    <t>02-12-GFL-0000557-01</t>
  </si>
  <si>
    <t>MADRIGAL HERRERA DERECK BRYAN</t>
  </si>
  <si>
    <t>02-12-GFL-0000560-01</t>
  </si>
  <si>
    <t>MONGE MARIN MOISES MAURICIO</t>
  </si>
  <si>
    <t>02-12-GFL-0000562-01</t>
  </si>
  <si>
    <t>SANCHEZ MEZA OSCAR STEVEN</t>
  </si>
  <si>
    <t>02-12-GFL-0000616-01</t>
  </si>
  <si>
    <t>GUTIERREZ MARENCO BRANDON DAVI</t>
  </si>
  <si>
    <t>02-12-GFL-0000638-01</t>
  </si>
  <si>
    <t>VALVERDE ZAMORA LUIS ALEJANDRO</t>
  </si>
  <si>
    <t>02-12-GFL-0000654-01</t>
  </si>
  <si>
    <t>SANABRIA HERNANDEZ CARLOS ALBE</t>
  </si>
  <si>
    <t>02-12-GFL-0000735-01</t>
  </si>
  <si>
    <t>RODRIGUEZ MASIS KEVIN JOSUE</t>
  </si>
  <si>
    <t>02-12-GFL-0000736-00</t>
  </si>
  <si>
    <t>CORDERO CESPEDES KENNETH GUSTA</t>
  </si>
  <si>
    <t>02-12-GFL-0000741-00</t>
  </si>
  <si>
    <t>DE FREITAS ARIAS ANA GABRIELA</t>
  </si>
  <si>
    <t>02-12-GFL-0000772-00</t>
  </si>
  <si>
    <t>PERALTA CORONADO JOSE PABLO</t>
  </si>
  <si>
    <t>02-12-GFL-0000782-00</t>
  </si>
  <si>
    <t>HERNANDEZ MENDEZ LAURA JIMENA</t>
  </si>
  <si>
    <t>0137953</t>
  </si>
  <si>
    <t>DEPORTIVO ISRAE LITA S.A.</t>
  </si>
  <si>
    <t>H072657</t>
  </si>
  <si>
    <t>KAWER WIGODA DANIEL</t>
  </si>
  <si>
    <t>9564793</t>
  </si>
  <si>
    <t>EL TALLER DEL C HOCOLATE SOCIE</t>
  </si>
  <si>
    <t>9581980</t>
  </si>
  <si>
    <t>ARTE Y DISE?O M ODULAR S.A.</t>
  </si>
  <si>
    <t>01-01-AUT-2192024-00</t>
  </si>
  <si>
    <t>SANCHEZ ALVARADO ANA PATRICIA</t>
  </si>
  <si>
    <t>01-01-AUT-2205794-00</t>
  </si>
  <si>
    <t>VILLAROEL SOTO LUISIANA CARLOT</t>
  </si>
  <si>
    <t>01-01-AUT-2212695-00</t>
  </si>
  <si>
    <t>GUIDO GUTIERREZ JORGE EDUARDO</t>
  </si>
  <si>
    <t>01-12-AUT-0099992-01</t>
  </si>
  <si>
    <t>CORI CAR SOCIEDAD ANONIMA</t>
  </si>
  <si>
    <t>01-12-AUT-0106232-00</t>
  </si>
  <si>
    <t>LEON SALAZAR MAURICIO</t>
  </si>
  <si>
    <t>01-12-FID-0002634-05</t>
  </si>
  <si>
    <t>VARGAS DIMARCO FRANTY</t>
  </si>
  <si>
    <t>01-12-RCG-0003298-03</t>
  </si>
  <si>
    <t>GRAND MOTORS  S.A.</t>
  </si>
  <si>
    <t>01-12-RCG-0003299-03</t>
  </si>
  <si>
    <t>01-12-RCG-0003300-03</t>
  </si>
  <si>
    <t>01-12-RCG-0003301-03</t>
  </si>
  <si>
    <t>01-12-RCG-0003662-03</t>
  </si>
  <si>
    <t>01-12-RCG-0004020-02</t>
  </si>
  <si>
    <t>9583128</t>
  </si>
  <si>
    <t>UGALDE HERRERA AURORA VANESSA</t>
  </si>
  <si>
    <t>01-21-AGI-0008777-01</t>
  </si>
  <si>
    <t>WEINSTOK MENDELEWICZ LEON</t>
  </si>
  <si>
    <t>01-21-AGI-0010017-01</t>
  </si>
  <si>
    <t>AHARONY PNINA</t>
  </si>
  <si>
    <t>01-21-AGI-0013748-00</t>
  </si>
  <si>
    <t>RODRIGUEZ GALINDO NAPOLEON ANT</t>
  </si>
  <si>
    <t>AU-174861-39784-0</t>
  </si>
  <si>
    <t>FARAH AUTOMOTRIZ SOCIEDAD DE RESPONSABILIDAD LIMITADA</t>
  </si>
  <si>
    <t>AU-193018-11944-0</t>
  </si>
  <si>
    <t>MARÍA TERESA CORDOVA DE HERNANDEZ</t>
  </si>
  <si>
    <t>AU-262398-33871-0</t>
  </si>
  <si>
    <t>FREDDY DAVID ROJAS ULATE</t>
  </si>
  <si>
    <t>AU-289992-39694-0</t>
  </si>
  <si>
    <t>FABRIZIO GIUSTINIANI CASTRO</t>
  </si>
  <si>
    <t>AU-259636-37480-0</t>
  </si>
  <si>
    <t>ADRIANA BRENES LEITON</t>
  </si>
  <si>
    <t>AU-202949-40179-0</t>
  </si>
  <si>
    <t>LUIS JONNATHAN SOLORZANO SANCHEZ</t>
  </si>
  <si>
    <t>AU-269513-35459-0</t>
  </si>
  <si>
    <t>SERVICIOS INTEGRALES ALARCO SV SOCIEDAD DE RESPONSABILIDAD LIMITADA</t>
  </si>
  <si>
    <t>2702200000602</t>
  </si>
  <si>
    <t>CONDOMINIO GRAN HORIZONTE</t>
  </si>
  <si>
    <t>APTV-36331</t>
  </si>
  <si>
    <t>MARTIN FRANCISCO JIMENEZ CORDERO</t>
  </si>
  <si>
    <t>APTV-67327</t>
  </si>
  <si>
    <t>EDUARDO DE JESUS VEGA CASTILLO</t>
  </si>
  <si>
    <t>APTV-50249</t>
  </si>
  <si>
    <t>JULIO CESAR MARIN GOMEZ</t>
  </si>
  <si>
    <t>APTV-61973</t>
  </si>
  <si>
    <t>PETS PARADISE SOCIEDAD ANONIMA</t>
  </si>
  <si>
    <t>APTV-66700</t>
  </si>
  <si>
    <t>APTV-62995</t>
  </si>
  <si>
    <t>ESTEPHANIA ARIANA CASTRO RUGAM</t>
  </si>
  <si>
    <t>0160023497</t>
  </si>
  <si>
    <t>WIEN SCHECHNER IDIS</t>
  </si>
  <si>
    <t>0160025488</t>
  </si>
  <si>
    <t>EDERY ESQUENAZI PERLA</t>
  </si>
  <si>
    <t>0160026782</t>
  </si>
  <si>
    <t>PEREZ ZAMORA MARIO ARTURO</t>
  </si>
  <si>
    <t>70B1492</t>
  </si>
  <si>
    <t>LELCHUK DYBNER, DANIEL ANDRES</t>
  </si>
  <si>
    <t>70B818</t>
  </si>
  <si>
    <t>UNGER SENERMAN, SHARON</t>
  </si>
  <si>
    <t>70B728</t>
  </si>
  <si>
    <t>ALTAMIRANO MARROQUIN, GLANN CARLOS</t>
  </si>
  <si>
    <t>70B831</t>
  </si>
  <si>
    <t>GONZALEZ MATAMOROS, NATALIA</t>
  </si>
  <si>
    <t>70B1900</t>
  </si>
  <si>
    <t>MARIN LARA, MARIA DEL CARMEN</t>
  </si>
  <si>
    <t>70B3569</t>
  </si>
  <si>
    <t>JAIMES PUERTAS, ROGER JOSE</t>
  </si>
  <si>
    <t>70B4145</t>
  </si>
  <si>
    <t>MONGE CAMPOS, ALVARO JOSE</t>
  </si>
  <si>
    <t>70B650</t>
  </si>
  <si>
    <t>QUESADA, LUIS ANDRES</t>
  </si>
  <si>
    <t>70B4314</t>
  </si>
  <si>
    <t>SUAREZ ZAMORA, DEBORA</t>
  </si>
  <si>
    <t>70B4538</t>
  </si>
  <si>
    <t>ARAYA JIMENEZ, ROLANDO</t>
  </si>
  <si>
    <t>2500781942</t>
  </si>
  <si>
    <t>YOAV LANG FEINZAIG</t>
  </si>
  <si>
    <t>2600795554</t>
  </si>
  <si>
    <t>PAULA MARIA GONZALEZ VILLAR</t>
  </si>
  <si>
    <t>2600797352</t>
  </si>
  <si>
    <t>TAMIR PINKAS</t>
  </si>
  <si>
    <t>1700598200</t>
  </si>
  <si>
    <t>MARCELA AUXILIADORA CELEDON LACAYO</t>
  </si>
  <si>
    <t>2100701202</t>
  </si>
  <si>
    <t>CARLOS ALBERTO PEÑA</t>
  </si>
  <si>
    <t>2400766846</t>
  </si>
  <si>
    <t>PERLA EDERY ESQUENAZI</t>
  </si>
  <si>
    <t>2500775990</t>
  </si>
  <si>
    <t>DANIELA JINICH</t>
  </si>
  <si>
    <t>MTCR003225</t>
  </si>
  <si>
    <t>VIVIAN KELLERMANN GUTERMAN</t>
  </si>
  <si>
    <t>1400557924</t>
  </si>
  <si>
    <t>DANIELLA EDERY ESQUENAZI</t>
  </si>
  <si>
    <t>1600585144</t>
  </si>
  <si>
    <t>CAROL GUZOWSKI COSIOL</t>
  </si>
  <si>
    <t>1600586240</t>
  </si>
  <si>
    <t>2000665131</t>
  </si>
  <si>
    <t>ALVARO JOSE MONGE CAMPOS</t>
  </si>
  <si>
    <t>1500574131</t>
  </si>
  <si>
    <t>ROLANDO BEFELER DACHNER</t>
  </si>
  <si>
    <t>02-12-RCG-0000153-05</t>
  </si>
  <si>
    <t>02-12-RGN-0000098-01</t>
  </si>
  <si>
    <t>ROSENCWAIG BRUTEN MARIO ABRAHA</t>
  </si>
  <si>
    <t>02-01-MED-0000027-14</t>
  </si>
  <si>
    <t>SCHIFTER CYRANOWICZ JOSE FELIX</t>
  </si>
  <si>
    <t>02-01-MED-0000704-14</t>
  </si>
  <si>
    <t>SCHIFTER KLEIMAN JESSICA</t>
  </si>
  <si>
    <t>02-01-MED-0007950-13</t>
  </si>
  <si>
    <t>SCHIFTER KLEIMAN ADDY</t>
  </si>
  <si>
    <t>02-09-MED-0001641-13</t>
  </si>
  <si>
    <t>SALAS ROJAS FIORELLA</t>
  </si>
  <si>
    <t>02-09-MED-0002679-10</t>
  </si>
  <si>
    <t>HARARI DIANA JUSTA</t>
  </si>
  <si>
    <t>02-09-MED-0002979-06</t>
  </si>
  <si>
    <t>FREIMANN FREIMANN YORAM</t>
  </si>
  <si>
    <t>02-12-GFL-0000565-01</t>
  </si>
  <si>
    <t>NG MENA MELISSA DE LOS ANGELES</t>
  </si>
  <si>
    <t>02-12-GFL-0000571-01</t>
  </si>
  <si>
    <t>HANE CARIDI HENRY</t>
  </si>
  <si>
    <t>02-12-GFL-0000602-01</t>
  </si>
  <si>
    <t>GUZOWSKI COSIOL CAROL RAQUEL</t>
  </si>
  <si>
    <t>02-12-GFL-0000618-01</t>
  </si>
  <si>
    <t>RANDALL RANDALL ZENE MONTGOMER</t>
  </si>
  <si>
    <t>02-12-GFL-0000628-01</t>
  </si>
  <si>
    <t>SIMON CASTA?EDA ROSA MARIA</t>
  </si>
  <si>
    <t>02-12-GFL-0000756-00</t>
  </si>
  <si>
    <t>LIRMAN SUBERCASEAUX MATIAS</t>
  </si>
  <si>
    <t>02-12-GFL-0000784-00</t>
  </si>
  <si>
    <t>MERCADO BARREDA LUCIANA</t>
  </si>
  <si>
    <t>02-12-GFL-0000810-00</t>
  </si>
  <si>
    <t>ARBELAEZ CHIRINOS IRIS</t>
  </si>
  <si>
    <t>02-12-MED-0000128-04</t>
  </si>
  <si>
    <t>SOLANO ROJAS BRAULIO JOSE</t>
  </si>
  <si>
    <t>02-12-MED-0000146-03</t>
  </si>
  <si>
    <t>BLAU WEINSTOCK GEORGE</t>
  </si>
  <si>
    <t>02-21-VIA-0411806-00</t>
  </si>
  <si>
    <t>ESCAMILLA VIDAL YOEL DAVID</t>
  </si>
  <si>
    <t>02-21-VIA-0411807-00</t>
  </si>
  <si>
    <t>ESCAMILLA CORDOBA JOSIAS JAVIE</t>
  </si>
  <si>
    <t>02-21-VIA-0411808-00</t>
  </si>
  <si>
    <t>VIDAL FLORES EMELYN ALEJANDRA</t>
  </si>
  <si>
    <t>02-21-VIA-0411903-00</t>
  </si>
  <si>
    <t>VARGAS GONZALEZ HORACIO ERNEST</t>
  </si>
  <si>
    <t>02-21-VIA-0413550-00</t>
  </si>
  <si>
    <t>MARIN MONTOYA ROY ANDRE</t>
  </si>
  <si>
    <t>02-21-VIA-0414269-00</t>
  </si>
  <si>
    <t>SOTELA MONTERO GERARDO JOAQUIN</t>
  </si>
  <si>
    <t>02-21-VIA-0414272-00</t>
  </si>
  <si>
    <t>GOLCHER GONZALEZ IRMA MARIA</t>
  </si>
  <si>
    <t>AU-287013-38994-0</t>
  </si>
  <si>
    <t>JOSEPH CHOMUT AMOS</t>
  </si>
  <si>
    <t>2012500003514</t>
  </si>
  <si>
    <t>RIVAS YANES, OSCAR  RENE</t>
  </si>
  <si>
    <t>2022500000244</t>
  </si>
  <si>
    <t>2702200000604</t>
  </si>
  <si>
    <t>PROT-356</t>
  </si>
  <si>
    <t>0160027757</t>
  </si>
  <si>
    <t>SAMGURO S.A</t>
  </si>
  <si>
    <t>RESUMEN DE PAGOS - IQ Julio</t>
  </si>
  <si>
    <t>Bono Jeniffer</t>
  </si>
  <si>
    <t>TC BAC  20/07/26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</si>
</sst>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₡&quot;* #,##0.00_-;\-&quot;₡&quot;* #,##0.00_-;_-&quot;₡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 &quot;* #,##0.00_);_(&quot; &quot;* \(#,##0.00\);_(&quot; &quot;* &quot;-&quot;??_);_(@_)"/>
    <numFmt numFmtId="167" formatCode="_-* #,##0.00\ _€_-;\-* #,##0.00\ _€_-;_-* &quot;-&quot;??\ _€_-;_-@_-"/>
    <numFmt numFmtId="168" formatCode="_(&quot;₡&quot;* #,##0.00_);_(&quot;₡&quot;* \(#,##0.00\);_(&quot;₡&quot;* &quot;-&quot;??_);_(@_)"/>
    <numFmt numFmtId="169" formatCode="_-[$₡-140A]* #,##0.00_-;\-[$₡-140A]* #,##0.00_-;_-[$₡-140A]* &quot;-&quot;??_-;_-@_-"/>
    <numFmt numFmtId="170" formatCode="_-&quot;$&quot;* #,##0.00_-;\-&quot;$&quot;* #,##0.00_-;_-&quot;$&quot;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Times New Roman"/>
      <family val="1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sz val="11"/>
      <color theme="0"/>
      <name val="Aptos Narrow"/>
      <family val="2"/>
    </font>
    <font>
      <b/>
      <sz val="11"/>
      <color rgb="FFFFC000"/>
      <name val="Aptos Narrow"/>
      <family val="2"/>
    </font>
    <font>
      <b/>
      <sz val="11"/>
      <color theme="0"/>
      <name val="Calibri"/>
      <family val="2"/>
      <scheme val="minor"/>
    </font>
    <font>
      <b/>
      <sz val="11"/>
      <color rgb="FFFFFFFF"/>
      <name val="Aptos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rgb="FF000000"/>
      </patternFill>
    </fill>
    <fill>
      <patternFill patternType="solid">
        <fgColor theme="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4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168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" fillId="0" borderId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8" fillId="0" borderId="0">
      <alignment vertical="top"/>
    </xf>
    <xf numFmtId="9" fontId="8" fillId="0" borderId="0" applyFont="0" applyFill="0" applyBorder="0" applyAlignment="0" applyProtection="0">
      <alignment vertical="top"/>
    </xf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8" fillId="0" borderId="0">
      <alignment vertical="top"/>
    </xf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" fillId="0" borderId="0">
      <alignment vertical="top"/>
    </xf>
    <xf numFmtId="168" fontId="1" fillId="0" borderId="0" applyFont="0" applyFill="0" applyBorder="0" applyAlignment="0" applyProtection="0"/>
    <xf numFmtId="0" fontId="9" fillId="0" borderId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7" fillId="0" borderId="0" applyFont="0" applyFill="0" applyBorder="0" applyAlignment="0" applyProtection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>
      <alignment vertical="top"/>
    </xf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>
      <alignment vertical="top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2" borderId="1" xfId="0" applyFill="1" applyBorder="1"/>
    <xf numFmtId="4" fontId="0" fillId="2" borderId="1" xfId="0" applyNumberFormat="1" applyFill="1" applyBorder="1"/>
    <xf numFmtId="4" fontId="0" fillId="0" borderId="0" xfId="0" applyNumberFormat="1"/>
    <xf numFmtId="0" fontId="0" fillId="0" borderId="9" xfId="0" applyBorder="1"/>
    <xf numFmtId="2" fontId="0" fillId="0" borderId="0" xfId="0" applyNumberFormat="1"/>
    <xf numFmtId="165" fontId="0" fillId="0" borderId="0" xfId="27" applyFont="1"/>
    <xf numFmtId="43" fontId="0" fillId="0" borderId="0" xfId="0" applyNumberFormat="1"/>
    <xf numFmtId="0" fontId="6" fillId="0" borderId="0" xfId="0" applyFont="1" applyAlignment="1">
      <alignment horizontal="center"/>
    </xf>
    <xf numFmtId="10" fontId="0" fillId="0" borderId="0" xfId="29" applyNumberFormat="1" applyFont="1"/>
    <xf numFmtId="165" fontId="5" fillId="0" borderId="0" xfId="27" applyFont="1"/>
    <xf numFmtId="0" fontId="5" fillId="0" borderId="0" xfId="0" applyFont="1"/>
    <xf numFmtId="167" fontId="0" fillId="0" borderId="0" xfId="0" applyNumberFormat="1"/>
    <xf numFmtId="0" fontId="0" fillId="0" borderId="0" xfId="0" applyAlignment="1">
      <alignment horizontal="center"/>
    </xf>
    <xf numFmtId="0" fontId="0" fillId="5" borderId="8" xfId="0" applyFill="1" applyBorder="1"/>
    <xf numFmtId="0" fontId="0" fillId="5" borderId="10" xfId="0" applyFill="1" applyBorder="1"/>
    <xf numFmtId="0" fontId="0" fillId="5" borderId="9" xfId="0" applyFill="1" applyBorder="1"/>
    <xf numFmtId="0" fontId="5" fillId="5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10" fontId="0" fillId="5" borderId="1" xfId="0" applyNumberFormat="1" applyFill="1" applyBorder="1" applyAlignment="1">
      <alignment horizontal="center"/>
    </xf>
    <xf numFmtId="10" fontId="0" fillId="5" borderId="1" xfId="29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4" fontId="0" fillId="5" borderId="1" xfId="0" applyNumberFormat="1" applyFill="1" applyBorder="1"/>
    <xf numFmtId="164" fontId="0" fillId="0" borderId="0" xfId="28" applyFont="1" applyFill="1"/>
    <xf numFmtId="16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7" borderId="0" xfId="0" applyFill="1"/>
    <xf numFmtId="0" fontId="5" fillId="6" borderId="1" xfId="0" applyFont="1" applyFill="1" applyBorder="1"/>
    <xf numFmtId="0" fontId="0" fillId="6" borderId="1" xfId="0" applyFill="1" applyBorder="1"/>
    <xf numFmtId="165" fontId="0" fillId="6" borderId="1" xfId="0" applyNumberFormat="1" applyFill="1" applyBorder="1"/>
    <xf numFmtId="164" fontId="0" fillId="6" borderId="1" xfId="28" applyFont="1" applyFill="1" applyBorder="1"/>
    <xf numFmtId="169" fontId="0" fillId="6" borderId="1" xfId="28" applyNumberFormat="1" applyFont="1" applyFill="1" applyBorder="1"/>
    <xf numFmtId="0" fontId="5" fillId="4" borderId="1" xfId="0" applyFont="1" applyFill="1" applyBorder="1"/>
    <xf numFmtId="0" fontId="0" fillId="4" borderId="1" xfId="0" applyFill="1" applyBorder="1"/>
    <xf numFmtId="164" fontId="5" fillId="4" borderId="1" xfId="28" applyFont="1" applyFill="1" applyBorder="1"/>
    <xf numFmtId="0" fontId="0" fillId="0" borderId="0" xfId="0" quotePrefix="1"/>
    <xf numFmtId="0" fontId="14" fillId="8" borderId="0" xfId="0" applyFont="1" applyFill="1" applyAlignment="1">
      <alignment vertical="center"/>
    </xf>
    <xf numFmtId="4" fontId="14" fillId="8" borderId="0" xfId="0" applyNumberFormat="1" applyFont="1" applyFill="1" applyAlignment="1">
      <alignment vertical="center"/>
    </xf>
    <xf numFmtId="4" fontId="13" fillId="9" borderId="0" xfId="0" applyNumberFormat="1" applyFont="1" applyFill="1"/>
    <xf numFmtId="4" fontId="0" fillId="0" borderId="11" xfId="0" applyNumberFormat="1" applyBorder="1"/>
    <xf numFmtId="43" fontId="0" fillId="0" borderId="0" xfId="26" applyFont="1" applyFill="1"/>
    <xf numFmtId="4" fontId="0" fillId="2" borderId="11" xfId="0" applyNumberFormat="1" applyFill="1" applyBorder="1"/>
    <xf numFmtId="0" fontId="0" fillId="0" borderId="12" xfId="0" applyBorder="1"/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4" fontId="11" fillId="9" borderId="0" xfId="0" applyNumberFormat="1" applyFont="1" applyFill="1" applyAlignment="1">
      <alignment horizontal="center"/>
    </xf>
    <xf numFmtId="4" fontId="12" fillId="9" borderId="0" xfId="0" applyNumberFormat="1" applyFont="1" applyFill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</cellXfs>
  <cellStyles count="184">
    <cellStyle name="Comma" xfId="27" builtinId="3"/>
    <cellStyle name="Comma 2" xfId="17" xr:uid="{00000000-0005-0000-0000-000041000000}"/>
    <cellStyle name="Comma 2 2" xfId="25" xr:uid="{DCF9464A-FF43-4539-9CD2-C79AEC2E5346}"/>
    <cellStyle name="Comma 2 2 2" xfId="75" xr:uid="{390C5ABD-96A7-463E-B97C-BE86AE74624F}"/>
    <cellStyle name="Comma 2 2 2 2" xfId="147" xr:uid="{ED5D3171-DA18-447B-960F-358EA43587E7}"/>
    <cellStyle name="Comma 2 2 3" xfId="96" xr:uid="{0CFF62B3-4F4D-47C6-A5AE-10C5FC0373AD}"/>
    <cellStyle name="Comma 2 2 3 2" xfId="165" xr:uid="{05AB62C1-90D4-440A-8C16-6FBC7D68878B}"/>
    <cellStyle name="Comma 2 2 4" xfId="102" xr:uid="{829D8886-FC05-4CBD-B285-6E3AD5DC9009}"/>
    <cellStyle name="Comma 2 2 4 2" xfId="170" xr:uid="{6F98B65B-454C-46D0-8857-629C2977935A}"/>
    <cellStyle name="Comma 2 2 5" xfId="125" xr:uid="{F7A1F451-5DE7-4A05-BB78-C33AA7FD9918}"/>
    <cellStyle name="Comma 2 3" xfId="67" xr:uid="{0F6A0E54-4A20-44B2-98D9-890E257EBC41}"/>
    <cellStyle name="Comma 2 3 2" xfId="137" xr:uid="{45D0869F-EA51-474E-83A1-8E55A3317BB8}"/>
    <cellStyle name="Comma 2 4" xfId="85" xr:uid="{642939DF-CBBA-45C6-858E-865EFC2BBB20}"/>
    <cellStyle name="Comma 2 4 2" xfId="153" xr:uid="{1EC8EF58-5D0A-47FF-8F3F-166A568156E4}"/>
    <cellStyle name="Comma 2 5" xfId="101" xr:uid="{8D241B75-F572-4498-BC29-AED0CAC582C8}"/>
    <cellStyle name="Comma 2 5 2" xfId="169" xr:uid="{6BAEE6CD-D14A-4BAC-BB9A-98D765CDD48A}"/>
    <cellStyle name="Comma 2 6" xfId="113" xr:uid="{467D1836-8311-4657-A099-50C243103C8F}"/>
    <cellStyle name="Comma 3" xfId="18" xr:uid="{56D0F4F4-F05C-4B86-9D49-F29E8FB4C8E2}"/>
    <cellStyle name="Comma 3 2" xfId="24" xr:uid="{580572CC-6FB8-4CA0-93E5-F07095FA3A47}"/>
    <cellStyle name="Comma 3 2 2" xfId="74" xr:uid="{8CAF064A-3F87-4B02-B357-4AC4AA2B2704}"/>
    <cellStyle name="Comma 3 2 2 2" xfId="146" xr:uid="{C78518F1-50B0-4D1C-9C27-1E6ECF4CFCE0}"/>
    <cellStyle name="Comma 3 2 3" xfId="95" xr:uid="{5A037125-8FA3-45C4-B683-E9E436E25DC5}"/>
    <cellStyle name="Comma 3 2 3 2" xfId="164" xr:uid="{93049536-7E99-45B5-BE5B-B0E6E2D8D0B9}"/>
    <cellStyle name="Comma 3 2 4" xfId="106" xr:uid="{F8D7105C-3218-4DD4-A3F1-2DFF7FC2E4C7}"/>
    <cellStyle name="Comma 3 2 4 2" xfId="175" xr:uid="{6EF94CB1-36B9-4374-A7A4-3EC335900605}"/>
    <cellStyle name="Comma 3 2 5" xfId="124" xr:uid="{FD2D064B-8776-44AF-ACFA-C1435021F1CA}"/>
    <cellStyle name="Comma 3 3" xfId="68" xr:uid="{D625D043-04FE-4EC3-B10C-8782EED1E4C8}"/>
    <cellStyle name="Comma 3 3 2" xfId="141" xr:uid="{E067E701-B23B-4AA4-A59A-7B60E706809D}"/>
    <cellStyle name="Comma 3 4" xfId="89" xr:uid="{1266B6C2-5496-4A15-9B86-BDE3A8B29C92}"/>
    <cellStyle name="Comma 3 4 2" xfId="157" xr:uid="{7FC95EE7-34BE-4E44-B110-88B9164808D7}"/>
    <cellStyle name="Comma 3 5" xfId="104" xr:uid="{CA2DE21F-B105-4B11-A2A8-7D8218F010AD}"/>
    <cellStyle name="Comma 3 5 2" xfId="172" xr:uid="{ECA5809F-6EAD-4C88-84F6-39E073895E1C}"/>
    <cellStyle name="Comma 3 6" xfId="114" xr:uid="{8960FAC6-FF04-4A22-B5F7-A3F74DB31EC3}"/>
    <cellStyle name="Currency" xfId="28" builtinId="4"/>
    <cellStyle name="Currency 2" xfId="52" xr:uid="{982F491D-C48E-4E10-9848-C67EF27C1D90}"/>
    <cellStyle name="Currency 2 2" xfId="127" xr:uid="{03EF4264-6240-4903-AAFE-02415F557F0E}"/>
    <cellStyle name="Currency 3" xfId="36" xr:uid="{A80145F7-011D-4AB9-A690-2BBF27A17D9F}"/>
    <cellStyle name="Millares 2" xfId="1" xr:uid="{00000000-0005-0000-0000-000000000000}"/>
    <cellStyle name="Millares 2 2" xfId="5" xr:uid="{00000000-0005-0000-0000-000001000000}"/>
    <cellStyle name="Millares 2 2 2" xfId="26" xr:uid="{CFF946E5-4A8F-429A-9677-76A134C6A5AE}"/>
    <cellStyle name="Millares 2 2 2 2" xfId="41" xr:uid="{42AB00F9-3FA9-4DB5-A326-A3228941A916}"/>
    <cellStyle name="Millares 2 2 2 2 2" xfId="79" xr:uid="{C3A8B175-CFFE-4BE7-9D61-56FF185D158E}"/>
    <cellStyle name="Millares 2 2 2 2 2 2" xfId="149" xr:uid="{4EA32C47-1BC6-4534-B1FD-521871A0586F}"/>
    <cellStyle name="Millares 2 2 2 2 3" xfId="98" xr:uid="{F75E2A02-84EB-45E4-9CB9-4A779C6D0F78}"/>
    <cellStyle name="Millares 2 2 2 2 3 2" xfId="167" xr:uid="{E1D16B55-9B33-4525-9105-7A52B86E8F4C}"/>
    <cellStyle name="Millares 2 2 2 2 4" xfId="133" xr:uid="{316EF113-7E7B-44F9-8DC6-7F1283C7C14C}"/>
    <cellStyle name="Millares 2 2 2 3" xfId="47" xr:uid="{590147C1-AB4C-4A37-9BE3-9C2B3E33935F}"/>
    <cellStyle name="Millares 2 2 2 3 2" xfId="142" xr:uid="{8960B325-852C-4991-862A-D49B637FB613}"/>
    <cellStyle name="Millares 2 2 2 4" xfId="90" xr:uid="{66B9647A-8534-4252-A443-7A1BA1371F0C}"/>
    <cellStyle name="Millares 2 2 2 4 2" xfId="158" xr:uid="{1B3F4668-8294-4BF7-9735-D3C440407AC6}"/>
    <cellStyle name="Millares 2 2 2 5" xfId="107" xr:uid="{C78418DD-202C-40E5-B74F-2A5C4298B387}"/>
    <cellStyle name="Millares 2 2 2 5 2" xfId="176" xr:uid="{60498FE2-A723-4B9D-9ED9-ACB301A5E6AD}"/>
    <cellStyle name="Millares 2 2 2 6" xfId="118" xr:uid="{B789E66D-ECF8-4F19-B950-09EC2CB20B08}"/>
    <cellStyle name="Millares 2 2 3" xfId="31" xr:uid="{A9AA2A28-8A7E-4FCF-8A75-2114C95914A6}"/>
    <cellStyle name="Millares 2 2 4" xfId="37" xr:uid="{68DA13C7-978D-4F82-A2F5-9D3A023ED5FF}"/>
    <cellStyle name="Millares 2 2 5" xfId="44" xr:uid="{FB575E86-42E7-4AC9-90F5-91EC3E42B74F}"/>
    <cellStyle name="Millares 2 3" xfId="14" xr:uid="{00000000-0005-0000-0000-000002000000}"/>
    <cellStyle name="Millares 2 3 2" xfId="21" xr:uid="{4E33C519-ACC7-416A-9AC3-7E5C85AC220C}"/>
    <cellStyle name="Millares 2 3 2 2" xfId="58" xr:uid="{F2EA4144-D2D6-4C24-B519-BC5697094E15}"/>
    <cellStyle name="Millares 2 3 2 2 2" xfId="111" xr:uid="{87DBD439-AB13-495C-B1B6-7367FF4C32DC}"/>
    <cellStyle name="Millares 2 3 2 2 2 2" xfId="181" xr:uid="{2228F35A-1094-419E-91FC-FF1F7D6E68A4}"/>
    <cellStyle name="Millares 2 3 2 2 3" xfId="130" xr:uid="{0A649781-34FD-4635-B5E4-3525BC794BC8}"/>
    <cellStyle name="Millares 2 3 2 3" xfId="73" xr:uid="{F4AE2465-F5F2-4315-83C0-82EF84564E21}"/>
    <cellStyle name="Millares 2 3 2 3 2" xfId="163" xr:uid="{03B5CDF8-5A2B-4323-B5F3-F8164E929923}"/>
    <cellStyle name="Millares 2 3 2 4" xfId="123" xr:uid="{84C35047-870D-45F2-8C97-BA86A523B842}"/>
    <cellStyle name="Millares 2 3 3" xfId="34" xr:uid="{4843041B-6987-44D1-876B-65D2968197BF}"/>
    <cellStyle name="Millares 2 3 3 2" xfId="72" xr:uid="{3C89132B-86E5-4F5B-B813-69A8513BB742}"/>
    <cellStyle name="Millares 2 3 3 2 2" xfId="145" xr:uid="{B99ED015-74D1-41ED-ADE1-2711F918B56B}"/>
    <cellStyle name="Millares 2 3 3 3" xfId="93" xr:uid="{A1C64E7D-F95A-4028-9470-7CF08FCB85F1}"/>
    <cellStyle name="Millares 2 3 3 3 2" xfId="161" xr:uid="{72A4E6B1-E25D-4F44-9BBA-952ECE3296B4}"/>
    <cellStyle name="Millares 2 3 3 4" xfId="121" xr:uid="{C55054B7-8275-482E-BDCB-B050F232753C}"/>
    <cellStyle name="Millares 2 3 4" xfId="46" xr:uid="{8985F6E7-9785-4267-87D6-05CDA78093F7}"/>
    <cellStyle name="Millares 2 3 4 2" xfId="136" xr:uid="{BAC99DCA-AA74-4E0D-BBD1-00D5C4799D6F}"/>
    <cellStyle name="Millares 2 3 5" xfId="84" xr:uid="{26FEF7BC-6081-4AC7-AD2A-8215B8847F34}"/>
    <cellStyle name="Millares 2 3 5 2" xfId="152" xr:uid="{B5767D3A-5677-4644-AD1B-BC88D6B9D190}"/>
    <cellStyle name="Millares 2 3 6" xfId="103" xr:uid="{0C4B35FD-6200-44B0-BB6B-A07350786BA1}"/>
    <cellStyle name="Millares 2 3 6 2" xfId="171" xr:uid="{1A26AC12-673A-4F09-A901-CAB0D90CB4D5}"/>
    <cellStyle name="Millares 2 4" xfId="4" xr:uid="{00000000-0005-0000-0000-000003000000}"/>
    <cellStyle name="Millares 2 5" xfId="19" xr:uid="{F2DFA24E-61B0-43DF-92B0-C93F0F75D27C}"/>
    <cellStyle name="Millares 2 5 2" xfId="69" xr:uid="{4C4A8CCB-1B8F-46EB-9D6A-D28035115713}"/>
    <cellStyle name="Millares 2 5 2 2" xfId="140" xr:uid="{8B887F73-9112-45CA-8B05-C35E899E2366}"/>
    <cellStyle name="Millares 2 5 3" xfId="88" xr:uid="{D058DBB1-C13D-4B17-B617-6BF1BC313CAC}"/>
    <cellStyle name="Millares 2 5 3 2" xfId="156" xr:uid="{64CBC668-A0FC-4012-BDE9-27592CC6A110}"/>
    <cellStyle name="Millares 2 5 4" xfId="109" xr:uid="{B99D8AF5-B750-4026-A7BB-C53698898374}"/>
    <cellStyle name="Millares 2 5 4 2" xfId="179" xr:uid="{BBDCC668-6EB8-4EE9-85E4-9CCA127378C9}"/>
    <cellStyle name="Millares 2 5 5" xfId="115" xr:uid="{AC5C6386-7F72-4DCA-B2EA-F99D32784059}"/>
    <cellStyle name="Millares 2 6" xfId="30" xr:uid="{08EC0EAE-4A01-4F40-ABA7-971FFA895606}"/>
    <cellStyle name="Millares 2 6 2" xfId="61" xr:uid="{11172B3D-1669-4E1D-8CB0-F3AE23E23B49}"/>
    <cellStyle name="Millares 2 6 2 2" xfId="143" xr:uid="{DBF9E8B4-1C5B-4243-BD79-026B353126A1}"/>
    <cellStyle name="Millares 2 6 3" xfId="91" xr:uid="{5C5A994E-A98A-428E-A27E-EB0B2670807B}"/>
    <cellStyle name="Millares 2 6 3 2" xfId="159" xr:uid="{DB21BFDD-A502-4C80-B2DF-816C1363B47D}"/>
    <cellStyle name="Millares 2 6 4" xfId="119" xr:uid="{F25AD3B9-14F1-4AF4-B88B-FEE2B3D59079}"/>
    <cellStyle name="Millares 2 7" xfId="43" xr:uid="{0ACAD60B-1D4B-4416-81CA-BFD8AC3B1906}"/>
    <cellStyle name="Millares 2 7 2" xfId="134" xr:uid="{AB3C20EB-8A56-48F5-8FD8-2AB96345DED5}"/>
    <cellStyle name="Millares 2 8" xfId="82" xr:uid="{623F29AA-A928-4D8D-BEF5-CE83AE28B45C}"/>
    <cellStyle name="Millares 2 8 2" xfId="150" xr:uid="{18EB6512-1C0C-4598-99BE-46DFF69722DC}"/>
    <cellStyle name="Millares 2 9" xfId="100" xr:uid="{1EA0FD55-8BBE-49AF-8C7B-D0D6A1A775A0}"/>
    <cellStyle name="Millares 2 9 2" xfId="168" xr:uid="{0FAB2338-E461-4BE5-ACC3-740E04917D0D}"/>
    <cellStyle name="Millares 3" xfId="6" xr:uid="{00000000-0005-0000-0000-000004000000}"/>
    <cellStyle name="Millares 3 2" xfId="22" xr:uid="{82520658-FC29-4966-B8B6-0AA8A5B9ABDD}"/>
    <cellStyle name="Millares 3 2 2" xfId="39" xr:uid="{EFEBAD7B-BE0D-434B-911D-E2B5050EF420}"/>
    <cellStyle name="Millares 3 2 2 2" xfId="78" xr:uid="{A03C705F-8013-4C87-AC99-24F9D7243552}"/>
    <cellStyle name="Millares 3 2 2 2 2" xfId="148" xr:uid="{8A7024F3-1041-4097-9EA4-4CEFC0573BD2}"/>
    <cellStyle name="Millares 3 2 2 3" xfId="97" xr:uid="{42FBC302-A500-4255-9C00-15D85E5017F1}"/>
    <cellStyle name="Millares 3 2 2 3 2" xfId="166" xr:uid="{3CFD8B98-1A60-4A8A-A222-44BDBDB68625}"/>
    <cellStyle name="Millares 3 2 2 4" xfId="132" xr:uid="{58ABEB8A-CB78-405F-B5F5-E8E3C2CD5A27}"/>
    <cellStyle name="Millares 3 2 3" xfId="45" xr:uid="{7FEB1268-FD42-4D41-9272-FD3279136D4F}"/>
    <cellStyle name="Millares 3 2 3 2" xfId="139" xr:uid="{A7620F81-5F1B-472B-B26A-5361113CEAB6}"/>
    <cellStyle name="Millares 3 2 4" xfId="87" xr:uid="{FA43B494-A5C0-4719-8CDE-B4F862CA8E11}"/>
    <cellStyle name="Millares 3 2 4 2" xfId="155" xr:uid="{70512316-FF05-4EE2-9C9E-102C989F3089}"/>
    <cellStyle name="Millares 3 2 5" xfId="108" xr:uid="{E61D498E-39A2-4F5B-A809-5CEA8D10638F}"/>
    <cellStyle name="Millares 3 2 5 2" xfId="177" xr:uid="{E880B12E-9DC3-4C41-9481-216CD7F1C51F}"/>
    <cellStyle name="Millares 3 2 6" xfId="117" xr:uid="{33392061-81FB-4740-8969-0A00BE32CCB3}"/>
    <cellStyle name="Millares 3 3" xfId="38" xr:uid="{89EB2705-C0C9-4C2C-9ED9-BEC82F15E225}"/>
    <cellStyle name="Millares 3 3 2" xfId="56" xr:uid="{B5F21D10-DC3C-41F7-AB29-4B7BC4753B17}"/>
    <cellStyle name="Millares 3 3 3" xfId="53" xr:uid="{2A5533E8-75BF-49D2-8EFD-45E6BB54A2A7}"/>
    <cellStyle name="Millares 3 3 3 2" xfId="174" xr:uid="{9CCC058C-CCC6-4940-B211-E46F56E4D32D}"/>
    <cellStyle name="Millares 3 3 4" xfId="128" xr:uid="{1C8F75DD-1C4C-464E-8FE6-7B6DAF9DF828}"/>
    <cellStyle name="Millares 3 4" xfId="42" xr:uid="{D443DF11-7524-412A-BC66-C9D4A38149F8}"/>
    <cellStyle name="Millares 4" xfId="3" xr:uid="{00000000-0005-0000-0000-000005000000}"/>
    <cellStyle name="Millares 4 2" xfId="23" xr:uid="{BACE2B16-BDAF-4F91-8C92-BC219333FF31}"/>
    <cellStyle name="Millares 4 2 2" xfId="70" xr:uid="{28E9D4CD-A338-45E6-89D8-5126A2EDD755}"/>
    <cellStyle name="Millares 4 2 2 2" xfId="138" xr:uid="{A8500F21-6575-4AA9-8ECD-611BEB9E22CF}"/>
    <cellStyle name="Millares 4 2 3" xfId="86" xr:uid="{0FF0EA6D-E392-4D0C-84F1-EC1301A94541}"/>
    <cellStyle name="Millares 4 2 3 2" xfId="154" xr:uid="{93F38AA6-8561-49C8-A92B-BFC06D3B59F8}"/>
    <cellStyle name="Millares 4 2 4" xfId="105" xr:uid="{FF7C7BF0-614A-4AC3-95BD-3CA9B30A9D28}"/>
    <cellStyle name="Millares 4 2 4 2" xfId="173" xr:uid="{34A3ABB3-1591-48CB-8352-5A399C850747}"/>
    <cellStyle name="Millares 4 2 5" xfId="116" xr:uid="{FF2EBEC5-3000-48D1-8992-972C095BD1A9}"/>
    <cellStyle name="Millares 4 3" xfId="55" xr:uid="{AB34BB4D-EA0C-4508-8BAB-7CC7A6407DB9}"/>
    <cellStyle name="Millares 5" xfId="112" xr:uid="{0699D798-D00C-4D3A-88CA-D9804A913DF4}"/>
    <cellStyle name="Millares 5 2" xfId="182" xr:uid="{B9D3AF86-3F9F-4D7E-B87B-FA3755B9020D}"/>
    <cellStyle name="Millares 6" xfId="183" xr:uid="{693D0845-83CE-463A-8D10-1854C279B43A}"/>
    <cellStyle name="Moneda 2" xfId="13" xr:uid="{00000000-0005-0000-0000-000006000000}"/>
    <cellStyle name="Moneda 2 2" xfId="16" xr:uid="{00000000-0005-0000-0000-000007000000}"/>
    <cellStyle name="Moneda 2 3" xfId="20" xr:uid="{4650295D-DB5F-45A2-832F-A280CB8612F5}"/>
    <cellStyle name="Moneda 2 3 2" xfId="57" xr:uid="{3EEF5E4E-1A28-4F48-B88B-48E184892185}"/>
    <cellStyle name="Moneda 2 3 2 2" xfId="129" xr:uid="{EA23AD01-FD94-40CA-AB7D-9536D9D373CA}"/>
    <cellStyle name="Moneda 2 3 3" xfId="64" xr:uid="{B791FEA2-8AE7-4F22-AB7B-5127DCD68765}"/>
    <cellStyle name="Moneda 2 3 3 2" xfId="94" xr:uid="{5E7D9B68-E674-4858-B634-1CC067994A16}"/>
    <cellStyle name="Moneda 2 3 3 2 2" xfId="162" xr:uid="{328C0805-6BB9-4060-9EFA-CAD7304F9576}"/>
    <cellStyle name="Moneda 2 3 4" xfId="54" xr:uid="{3ED702C1-344C-4158-BAB0-48D70B2AECB2}"/>
    <cellStyle name="Moneda 2 3 4 2" xfId="178" xr:uid="{CE0F5C01-0CCB-44AB-8A8B-A5EBD3110E24}"/>
    <cellStyle name="Moneda 2 3 5" xfId="122" xr:uid="{4BFFA098-1EC0-4B92-A3AD-215FA6FCAA7B}"/>
    <cellStyle name="Moneda 2 4" xfId="33" xr:uid="{906B2164-4310-4008-8360-D56930978B96}"/>
    <cellStyle name="Moneda 2 4 2" xfId="81" xr:uid="{665C3E6B-8D2B-4C79-9F8F-54C940AB1921}"/>
    <cellStyle name="Moneda 2 4 2 2" xfId="144" xr:uid="{3DDDACA0-0833-4EC4-8311-A3CD62813226}"/>
    <cellStyle name="Moneda 2 4 3" xfId="92" xr:uid="{42A53B63-0A8F-48C6-929D-66103D337D47}"/>
    <cellStyle name="Moneda 2 4 3 2" xfId="160" xr:uid="{D39295C3-090B-4EC8-87F4-FD014182EB70}"/>
    <cellStyle name="Moneda 2 4 4" xfId="120" xr:uid="{17958573-09D1-4C89-B5DF-639D4E1ADB1A}"/>
    <cellStyle name="Moneda 2 5" xfId="66" xr:uid="{B05ECFF9-EDD8-4163-8DFB-57D8C33F2146}"/>
    <cellStyle name="Moneda 2 5 2" xfId="80" xr:uid="{5AB9E996-36F9-41BE-9471-D1755C143E40}"/>
    <cellStyle name="Moneda 2 5 3" xfId="135" xr:uid="{EA7C106D-5D91-450C-835A-2B058370DD07}"/>
    <cellStyle name="Moneda 2 6" xfId="83" xr:uid="{77F54735-967F-4043-AE93-AD51043079BD}"/>
    <cellStyle name="Moneda 2 6 2" xfId="151" xr:uid="{F656D428-BBFC-485B-BD43-B625968B4F1B}"/>
    <cellStyle name="Moneda 3" xfId="32" xr:uid="{77019211-13F7-4731-8D73-5B68B4B10C2F}"/>
    <cellStyle name="Moneda 3 2" xfId="35" xr:uid="{4E32E2FA-9E43-4CCB-9AE8-A67FE7D5BE8C}"/>
    <cellStyle name="Moneda 3 2 2" xfId="62" xr:uid="{D4D70C43-8F15-47FD-AE12-485E2547D27B}"/>
    <cellStyle name="Moneda 3 2 2 2" xfId="77" xr:uid="{2B9EA3E0-7401-4356-ADA8-F3FC0DC6BC34}"/>
    <cellStyle name="Moneda 3 2 3" xfId="76" xr:uid="{0FB7FF6B-30D4-42E1-80EC-4CB4215E3A65}"/>
    <cellStyle name="Moneda 3 3" xfId="59" xr:uid="{B614D2B3-DABA-464C-B6E8-808FE286C2DE}"/>
    <cellStyle name="Moneda 3 4" xfId="48" xr:uid="{2735D3DC-7700-4B69-AEAF-90B85BF8D101}"/>
    <cellStyle name="Normal" xfId="0" builtinId="0"/>
    <cellStyle name="Normal 15" xfId="49" xr:uid="{F9D5B260-30D0-4D26-9C05-90A67FA6FF9C}"/>
    <cellStyle name="Normal 2" xfId="7" xr:uid="{00000000-0005-0000-0000-000009000000}"/>
    <cellStyle name="Normal 2 2" xfId="8" xr:uid="{00000000-0005-0000-0000-00000A000000}"/>
    <cellStyle name="Normal 2 3" xfId="15" xr:uid="{00000000-0005-0000-0000-00000B000000}"/>
    <cellStyle name="Normal 2 4" xfId="40" xr:uid="{BBE373A5-17B6-4335-AED9-85B33C9BC560}"/>
    <cellStyle name="Normal 2 4 2" xfId="60" xr:uid="{1FBCC120-DCD6-4F00-9B58-6788DEE79405}"/>
    <cellStyle name="Normal 2 4 2 2" xfId="110" xr:uid="{4314C009-9E18-4C76-AFA0-1433492C6FB0}"/>
    <cellStyle name="Normal 2 4 2 2 2" xfId="180" xr:uid="{BE8A9F99-CE65-4B85-BE78-0F9B5342C2F2}"/>
    <cellStyle name="Normal 2 4 2 3" xfId="131" xr:uid="{9786C742-F377-4CCC-AB99-51564F57E34E}"/>
    <cellStyle name="Normal 2 4 3" xfId="71" xr:uid="{74C5F570-8D5D-48C8-92C6-86B6AAD8C08C}"/>
    <cellStyle name="Normal 2 5" xfId="63" xr:uid="{6810FD19-7C7E-43F7-935C-2CB7A36F0BE1}"/>
    <cellStyle name="Normal 2 5 2" xfId="126" xr:uid="{F4666934-FDE7-4184-946C-EEA4F3E390CA}"/>
    <cellStyle name="Normal 2 6" xfId="50" xr:uid="{1C167D87-5DA2-45AC-A0AA-8D98C3CE4B87}"/>
    <cellStyle name="Normal 3" xfId="9" xr:uid="{00000000-0005-0000-0000-00000C000000}"/>
    <cellStyle name="Normal 4" xfId="10" xr:uid="{00000000-0005-0000-0000-00000D000000}"/>
    <cellStyle name="Normal 4 2" xfId="11" xr:uid="{00000000-0005-0000-0000-00000E000000}"/>
    <cellStyle name="Normal 5" xfId="12" xr:uid="{00000000-0005-0000-0000-00000F000000}"/>
    <cellStyle name="Normal 6" xfId="2" xr:uid="{00000000-0005-0000-0000-000010000000}"/>
    <cellStyle name="Normal 7" xfId="65" xr:uid="{CD087652-764C-4812-866C-480095DAFB7B}"/>
    <cellStyle name="Percent" xfId="29" builtinId="5"/>
    <cellStyle name="Porcentaje 2" xfId="51" xr:uid="{A4EC01C4-93C4-4DA1-AB37-ACDFC7228F3D}"/>
    <cellStyle name="Porcentaje 2 2" xfId="99" xr:uid="{7F4E3D20-A8A8-4CC4-8554-667B649917DD}"/>
  </cellStyles>
  <dxfs count="0"/>
  <tableStyles count="0" defaultTableStyle="TableStyleMedium2" defaultPivotStyle="PivotStyleLight16"/>
  <colors>
    <mruColors>
      <color rgb="FFFA6204"/>
      <color rgb="FFCC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3"/>
  <sheetViews>
    <sheetView workbookViewId="0">
      <selection activeCell="D10" sqref="D10"/>
    </sheetView>
  </sheetViews>
  <sheetFormatPr defaultColWidth="11.5546875" defaultRowHeight="14.4" x14ac:dyDescent="0.3"/>
  <cols>
    <col min="2" max="2" width="23" bestFit="1" customWidth="1"/>
    <col min="4" max="4" width="39" bestFit="1" customWidth="1"/>
    <col min="9" max="9" width="14.109375" bestFit="1" customWidth="1"/>
  </cols>
  <sheetData>
    <row r="1" spans="1:15" x14ac:dyDescent="0.3">
      <c r="A1" s="40" t="s">
        <v>35</v>
      </c>
      <c r="B1" s="40" t="s">
        <v>56</v>
      </c>
      <c r="C1" s="40" t="s">
        <v>57</v>
      </c>
      <c r="D1" s="40" t="s">
        <v>58</v>
      </c>
      <c r="E1" s="40" t="s">
        <v>36</v>
      </c>
      <c r="F1" s="40" t="s">
        <v>37</v>
      </c>
      <c r="G1" s="40" t="s">
        <v>38</v>
      </c>
      <c r="H1" s="40" t="s">
        <v>39</v>
      </c>
      <c r="I1" s="41" t="s">
        <v>40</v>
      </c>
      <c r="J1" s="42" t="s">
        <v>59</v>
      </c>
      <c r="K1" s="41" t="s">
        <v>41</v>
      </c>
      <c r="L1" s="41" t="s">
        <v>67</v>
      </c>
      <c r="M1" s="41" t="s">
        <v>60</v>
      </c>
      <c r="N1" s="41" t="s">
        <v>42</v>
      </c>
      <c r="O1" s="40" t="s">
        <v>43</v>
      </c>
    </row>
    <row r="2" spans="1:15" x14ac:dyDescent="0.3">
      <c r="A2" s="39" t="s">
        <v>44</v>
      </c>
      <c r="B2" s="39" t="s">
        <v>62</v>
      </c>
      <c r="C2" s="39" t="s">
        <v>166</v>
      </c>
      <c r="D2" s="39" t="s">
        <v>167</v>
      </c>
      <c r="E2" s="39" t="s">
        <v>8</v>
      </c>
      <c r="F2" s="39" t="s">
        <v>45</v>
      </c>
      <c r="G2" s="39" t="s">
        <v>66</v>
      </c>
      <c r="H2" s="39" t="s">
        <v>46</v>
      </c>
      <c r="I2" s="44">
        <v>2454656</v>
      </c>
      <c r="J2" s="44">
        <v>122733</v>
      </c>
      <c r="K2" s="39" t="s">
        <v>68</v>
      </c>
      <c r="L2" s="44">
        <v>110459.7</v>
      </c>
      <c r="M2" s="44">
        <v>2209.194</v>
      </c>
      <c r="N2" s="44">
        <v>108250.50599999999</v>
      </c>
    </row>
    <row r="3" spans="1:15" x14ac:dyDescent="0.3">
      <c r="A3" s="39" t="s">
        <v>44</v>
      </c>
      <c r="B3" s="39" t="s">
        <v>62</v>
      </c>
      <c r="C3" s="39" t="s">
        <v>168</v>
      </c>
      <c r="D3" s="39" t="s">
        <v>169</v>
      </c>
      <c r="E3" s="39" t="s">
        <v>8</v>
      </c>
      <c r="F3" s="39" t="s">
        <v>45</v>
      </c>
      <c r="G3" s="39" t="s">
        <v>66</v>
      </c>
      <c r="H3" s="39" t="s">
        <v>46</v>
      </c>
      <c r="I3" s="44">
        <v>65435</v>
      </c>
      <c r="J3" s="44">
        <v>3272</v>
      </c>
      <c r="K3" s="39" t="s">
        <v>68</v>
      </c>
      <c r="L3" s="44">
        <v>2944.8</v>
      </c>
      <c r="M3" s="44">
        <v>58.896000000000008</v>
      </c>
      <c r="N3" s="44">
        <v>2885.904</v>
      </c>
    </row>
    <row r="4" spans="1:15" x14ac:dyDescent="0.3">
      <c r="A4" s="39" t="s">
        <v>44</v>
      </c>
      <c r="B4" s="39" t="s">
        <v>62</v>
      </c>
      <c r="C4" s="39" t="s">
        <v>170</v>
      </c>
      <c r="D4" s="39" t="s">
        <v>171</v>
      </c>
      <c r="E4" s="39" t="s">
        <v>8</v>
      </c>
      <c r="F4" s="39" t="s">
        <v>45</v>
      </c>
      <c r="G4" s="39" t="s">
        <v>66</v>
      </c>
      <c r="H4" s="39" t="s">
        <v>46</v>
      </c>
      <c r="I4" s="44">
        <v>37422</v>
      </c>
      <c r="J4" s="44">
        <v>1872</v>
      </c>
      <c r="K4" s="39" t="s">
        <v>68</v>
      </c>
      <c r="L4" s="44">
        <v>1684.8</v>
      </c>
      <c r="M4" s="44">
        <v>33.695999999999998</v>
      </c>
      <c r="N4" s="44">
        <v>1651.104</v>
      </c>
    </row>
    <row r="5" spans="1:15" x14ac:dyDescent="0.3">
      <c r="A5" s="39" t="s">
        <v>44</v>
      </c>
      <c r="B5" s="39" t="s">
        <v>62</v>
      </c>
      <c r="C5" s="39" t="s">
        <v>172</v>
      </c>
      <c r="D5" s="39" t="s">
        <v>173</v>
      </c>
      <c r="E5" s="39" t="s">
        <v>8</v>
      </c>
      <c r="F5" s="39" t="s">
        <v>45</v>
      </c>
      <c r="G5" s="39" t="s">
        <v>66</v>
      </c>
      <c r="H5" s="39" t="s">
        <v>46</v>
      </c>
      <c r="I5" s="44">
        <v>101135</v>
      </c>
      <c r="J5" s="44">
        <v>5057</v>
      </c>
      <c r="K5" s="39" t="s">
        <v>68</v>
      </c>
      <c r="L5" s="44">
        <v>4551.3</v>
      </c>
      <c r="M5" s="44">
        <v>91.02600000000001</v>
      </c>
      <c r="N5" s="44">
        <v>4460.2740000000003</v>
      </c>
    </row>
    <row r="6" spans="1:15" x14ac:dyDescent="0.3">
      <c r="A6" s="39" t="s">
        <v>44</v>
      </c>
      <c r="B6" s="39" t="s">
        <v>62</v>
      </c>
      <c r="C6" s="39" t="s">
        <v>174</v>
      </c>
      <c r="D6" s="39" t="s">
        <v>175</v>
      </c>
      <c r="E6" s="39" t="s">
        <v>8</v>
      </c>
      <c r="F6" s="39" t="s">
        <v>47</v>
      </c>
      <c r="G6" s="39" t="s">
        <v>65</v>
      </c>
      <c r="H6" s="39" t="s">
        <v>46</v>
      </c>
      <c r="I6" s="44">
        <v>38220</v>
      </c>
      <c r="J6" s="44">
        <v>5733</v>
      </c>
      <c r="K6" s="39" t="s">
        <v>68</v>
      </c>
      <c r="L6" s="44">
        <v>5159.7</v>
      </c>
      <c r="M6" s="44">
        <v>103.194</v>
      </c>
      <c r="N6" s="44">
        <v>5056.5059999999994</v>
      </c>
    </row>
    <row r="7" spans="1:15" x14ac:dyDescent="0.3">
      <c r="A7" s="39" t="s">
        <v>44</v>
      </c>
      <c r="B7" s="39" t="s">
        <v>62</v>
      </c>
      <c r="C7" s="39" t="s">
        <v>176</v>
      </c>
      <c r="D7" s="39" t="s">
        <v>177</v>
      </c>
      <c r="E7" s="39" t="s">
        <v>8</v>
      </c>
      <c r="F7" s="39" t="s">
        <v>47</v>
      </c>
      <c r="G7" s="39" t="s">
        <v>65</v>
      </c>
      <c r="H7" s="39" t="s">
        <v>46</v>
      </c>
      <c r="I7" s="44">
        <v>26389</v>
      </c>
      <c r="J7" s="44">
        <v>3958</v>
      </c>
      <c r="K7" s="39" t="s">
        <v>68</v>
      </c>
      <c r="L7" s="44">
        <v>3562.2000000000003</v>
      </c>
      <c r="M7" s="44">
        <v>71.244000000000014</v>
      </c>
      <c r="N7" s="44">
        <v>3490.9560000000001</v>
      </c>
    </row>
    <row r="8" spans="1:15" x14ac:dyDescent="0.3">
      <c r="A8" s="39" t="s">
        <v>44</v>
      </c>
      <c r="B8" s="39" t="s">
        <v>62</v>
      </c>
      <c r="C8" s="39" t="s">
        <v>178</v>
      </c>
      <c r="D8" s="39" t="s">
        <v>179</v>
      </c>
      <c r="E8" s="39" t="s">
        <v>8</v>
      </c>
      <c r="F8" s="39" t="s">
        <v>47</v>
      </c>
      <c r="G8" s="39" t="s">
        <v>65</v>
      </c>
      <c r="H8" s="39" t="s">
        <v>46</v>
      </c>
      <c r="I8" s="44">
        <v>447068</v>
      </c>
      <c r="J8" s="44">
        <v>67060</v>
      </c>
      <c r="K8" s="39" t="s">
        <v>68</v>
      </c>
      <c r="L8" s="44">
        <v>60354</v>
      </c>
      <c r="M8" s="44">
        <v>1207.08</v>
      </c>
      <c r="N8" s="44">
        <v>59146.92</v>
      </c>
    </row>
    <row r="9" spans="1:15" x14ac:dyDescent="0.3">
      <c r="A9" s="39" t="s">
        <v>44</v>
      </c>
      <c r="B9" s="39" t="s">
        <v>62</v>
      </c>
      <c r="C9" s="39" t="s">
        <v>180</v>
      </c>
      <c r="D9" s="39" t="s">
        <v>181</v>
      </c>
      <c r="E9" s="39" t="s">
        <v>8</v>
      </c>
      <c r="F9" s="39" t="s">
        <v>47</v>
      </c>
      <c r="G9" s="39" t="s">
        <v>65</v>
      </c>
      <c r="H9" s="39" t="s">
        <v>46</v>
      </c>
      <c r="I9" s="44">
        <v>7321</v>
      </c>
      <c r="J9" s="44">
        <v>1098</v>
      </c>
      <c r="K9" s="39" t="s">
        <v>68</v>
      </c>
      <c r="L9" s="44">
        <v>988.2</v>
      </c>
      <c r="M9" s="44">
        <v>19.764000000000003</v>
      </c>
      <c r="N9" s="44">
        <v>968.43600000000004</v>
      </c>
    </row>
    <row r="10" spans="1:15" x14ac:dyDescent="0.3">
      <c r="A10" s="39" t="s">
        <v>44</v>
      </c>
      <c r="B10" s="39" t="s">
        <v>62</v>
      </c>
      <c r="C10" s="39" t="s">
        <v>182</v>
      </c>
      <c r="D10" s="39" t="s">
        <v>183</v>
      </c>
      <c r="E10" s="39" t="s">
        <v>8</v>
      </c>
      <c r="F10" s="39" t="s">
        <v>47</v>
      </c>
      <c r="G10" s="39" t="s">
        <v>65</v>
      </c>
      <c r="H10" s="39" t="s">
        <v>46</v>
      </c>
      <c r="I10" s="44">
        <v>32595</v>
      </c>
      <c r="J10" s="44">
        <v>4889</v>
      </c>
      <c r="K10" s="39" t="s">
        <v>68</v>
      </c>
      <c r="L10" s="44">
        <v>4400.1000000000004</v>
      </c>
      <c r="M10" s="44">
        <v>88.00200000000001</v>
      </c>
      <c r="N10" s="44">
        <v>4312.098</v>
      </c>
    </row>
    <row r="11" spans="1:15" x14ac:dyDescent="0.3">
      <c r="A11" s="39" t="s">
        <v>44</v>
      </c>
      <c r="B11" s="39" t="s">
        <v>62</v>
      </c>
      <c r="C11" s="39" t="s">
        <v>184</v>
      </c>
      <c r="D11" s="39" t="s">
        <v>185</v>
      </c>
      <c r="E11" s="39" t="s">
        <v>8</v>
      </c>
      <c r="F11" s="39" t="s">
        <v>45</v>
      </c>
      <c r="G11" s="39" t="s">
        <v>65</v>
      </c>
      <c r="H11" s="39" t="s">
        <v>46</v>
      </c>
      <c r="I11" s="44">
        <v>11935</v>
      </c>
      <c r="J11" s="44">
        <v>2506</v>
      </c>
      <c r="K11" s="39" t="s">
        <v>68</v>
      </c>
      <c r="L11" s="44">
        <v>2255.4</v>
      </c>
      <c r="M11" s="44">
        <v>45.108000000000004</v>
      </c>
      <c r="N11" s="44">
        <v>2210.2919999999999</v>
      </c>
    </row>
    <row r="12" spans="1:15" x14ac:dyDescent="0.3">
      <c r="A12" s="39" t="s">
        <v>44</v>
      </c>
      <c r="B12" s="39" t="s">
        <v>62</v>
      </c>
      <c r="C12" s="39" t="s">
        <v>186</v>
      </c>
      <c r="D12" s="39" t="s">
        <v>187</v>
      </c>
      <c r="E12" s="39" t="s">
        <v>8</v>
      </c>
      <c r="F12" s="39" t="s">
        <v>45</v>
      </c>
      <c r="G12" s="39" t="s">
        <v>65</v>
      </c>
      <c r="H12" s="39" t="s">
        <v>46</v>
      </c>
      <c r="I12" s="44">
        <v>141896</v>
      </c>
      <c r="J12" s="44">
        <v>29798</v>
      </c>
      <c r="K12" s="39" t="s">
        <v>68</v>
      </c>
      <c r="L12" s="44">
        <v>26818.2</v>
      </c>
      <c r="M12" s="44">
        <v>536.36400000000003</v>
      </c>
      <c r="N12" s="44">
        <v>26281.835999999999</v>
      </c>
    </row>
    <row r="13" spans="1:15" x14ac:dyDescent="0.3">
      <c r="A13" s="39" t="s">
        <v>44</v>
      </c>
      <c r="B13" s="39" t="s">
        <v>62</v>
      </c>
      <c r="C13" s="39" t="s">
        <v>188</v>
      </c>
      <c r="D13" s="39" t="s">
        <v>187</v>
      </c>
      <c r="E13" s="39" t="s">
        <v>8</v>
      </c>
      <c r="F13" s="39" t="s">
        <v>45</v>
      </c>
      <c r="G13" s="39" t="s">
        <v>65</v>
      </c>
      <c r="H13" s="39" t="s">
        <v>46</v>
      </c>
      <c r="I13" s="44">
        <v>17898</v>
      </c>
      <c r="J13" s="44">
        <v>3759</v>
      </c>
      <c r="K13" s="39" t="s">
        <v>68</v>
      </c>
      <c r="L13" s="44">
        <v>3383.1</v>
      </c>
      <c r="M13" s="44">
        <v>67.662000000000006</v>
      </c>
      <c r="N13" s="44">
        <v>3315.4380000000001</v>
      </c>
    </row>
    <row r="14" spans="1:15" x14ac:dyDescent="0.3">
      <c r="A14" s="39" t="s">
        <v>44</v>
      </c>
      <c r="B14" s="39" t="s">
        <v>62</v>
      </c>
      <c r="C14" s="39" t="s">
        <v>189</v>
      </c>
      <c r="D14" s="39" t="s">
        <v>187</v>
      </c>
      <c r="E14" s="39" t="s">
        <v>8</v>
      </c>
      <c r="F14" s="39" t="s">
        <v>45</v>
      </c>
      <c r="G14" s="39" t="s">
        <v>65</v>
      </c>
      <c r="H14" s="39" t="s">
        <v>46</v>
      </c>
      <c r="I14" s="44">
        <v>17898</v>
      </c>
      <c r="J14" s="44">
        <v>3759</v>
      </c>
      <c r="K14" s="39" t="s">
        <v>68</v>
      </c>
      <c r="L14" s="44">
        <v>3383.1</v>
      </c>
      <c r="M14" s="44">
        <v>67.662000000000006</v>
      </c>
      <c r="N14" s="44">
        <v>3315.4380000000001</v>
      </c>
    </row>
    <row r="15" spans="1:15" x14ac:dyDescent="0.3">
      <c r="A15" s="39" t="s">
        <v>44</v>
      </c>
      <c r="B15" s="39" t="s">
        <v>62</v>
      </c>
      <c r="C15" s="39" t="s">
        <v>190</v>
      </c>
      <c r="D15" s="39" t="s">
        <v>187</v>
      </c>
      <c r="E15" s="39" t="s">
        <v>8</v>
      </c>
      <c r="F15" s="39" t="s">
        <v>45</v>
      </c>
      <c r="G15" s="39" t="s">
        <v>65</v>
      </c>
      <c r="H15" s="39" t="s">
        <v>46</v>
      </c>
      <c r="I15" s="44">
        <v>18716</v>
      </c>
      <c r="J15" s="44">
        <v>3930</v>
      </c>
      <c r="K15" s="39" t="s">
        <v>68</v>
      </c>
      <c r="L15" s="44">
        <v>3537</v>
      </c>
      <c r="M15" s="44">
        <v>70.739999999999995</v>
      </c>
      <c r="N15" s="44">
        <v>3466.26</v>
      </c>
    </row>
    <row r="16" spans="1:15" x14ac:dyDescent="0.3">
      <c r="A16" s="39" t="s">
        <v>44</v>
      </c>
      <c r="B16" s="39" t="s">
        <v>62</v>
      </c>
      <c r="C16" s="39" t="s">
        <v>191</v>
      </c>
      <c r="D16" s="39" t="s">
        <v>187</v>
      </c>
      <c r="E16" s="39" t="s">
        <v>8</v>
      </c>
      <c r="F16" s="39" t="s">
        <v>47</v>
      </c>
      <c r="G16" s="39" t="s">
        <v>65</v>
      </c>
      <c r="H16" s="39" t="s">
        <v>46</v>
      </c>
      <c r="I16" s="44">
        <v>35863</v>
      </c>
      <c r="J16" s="44">
        <v>7531</v>
      </c>
      <c r="K16" s="39" t="s">
        <v>68</v>
      </c>
      <c r="L16" s="44">
        <v>6777.9000000000005</v>
      </c>
      <c r="M16" s="44">
        <v>135.55800000000002</v>
      </c>
      <c r="N16" s="44">
        <v>6642.3420000000006</v>
      </c>
    </row>
    <row r="17" spans="1:14" x14ac:dyDescent="0.3">
      <c r="A17" s="39" t="s">
        <v>44</v>
      </c>
      <c r="B17" s="39" t="s">
        <v>62</v>
      </c>
      <c r="C17" s="39" t="s">
        <v>192</v>
      </c>
      <c r="D17" s="39" t="s">
        <v>187</v>
      </c>
      <c r="E17" s="39" t="s">
        <v>8</v>
      </c>
      <c r="F17" s="39" t="s">
        <v>47</v>
      </c>
      <c r="G17" s="39" t="s">
        <v>65</v>
      </c>
      <c r="H17" s="39" t="s">
        <v>46</v>
      </c>
      <c r="I17" s="44">
        <v>17898</v>
      </c>
      <c r="J17" s="44">
        <v>3759</v>
      </c>
      <c r="K17" s="39" t="s">
        <v>68</v>
      </c>
      <c r="L17" s="44">
        <v>3383.1</v>
      </c>
      <c r="M17" s="44">
        <v>67.662000000000006</v>
      </c>
      <c r="N17" s="44">
        <v>3315.4380000000001</v>
      </c>
    </row>
    <row r="18" spans="1:14" x14ac:dyDescent="0.3">
      <c r="A18" s="39" t="s">
        <v>44</v>
      </c>
      <c r="B18" s="39" t="s">
        <v>62</v>
      </c>
      <c r="C18" s="39" t="s">
        <v>193</v>
      </c>
      <c r="D18" s="39" t="s">
        <v>194</v>
      </c>
      <c r="E18" s="39" t="s">
        <v>8</v>
      </c>
      <c r="F18" s="39" t="s">
        <v>45</v>
      </c>
      <c r="G18" s="39" t="s">
        <v>66</v>
      </c>
      <c r="H18" s="39" t="s">
        <v>46</v>
      </c>
      <c r="I18" s="44">
        <v>45360</v>
      </c>
      <c r="J18" s="44">
        <v>3629</v>
      </c>
      <c r="K18" s="39" t="s">
        <v>68</v>
      </c>
      <c r="L18" s="44">
        <v>3266.1</v>
      </c>
      <c r="M18" s="44">
        <v>65.322000000000003</v>
      </c>
      <c r="N18" s="44">
        <v>3200.7779999999998</v>
      </c>
    </row>
    <row r="19" spans="1:14" x14ac:dyDescent="0.3">
      <c r="A19" s="39" t="s">
        <v>44</v>
      </c>
      <c r="B19" s="39" t="s">
        <v>62</v>
      </c>
      <c r="C19" s="39" t="s">
        <v>78</v>
      </c>
      <c r="D19" s="39" t="s">
        <v>79</v>
      </c>
      <c r="E19" s="39" t="s">
        <v>8</v>
      </c>
      <c r="F19" s="39" t="s">
        <v>45</v>
      </c>
      <c r="G19" s="39" t="s">
        <v>65</v>
      </c>
      <c r="H19" s="39" t="s">
        <v>46</v>
      </c>
      <c r="I19" s="44">
        <v>-73866</v>
      </c>
      <c r="J19" s="44">
        <v>-11080</v>
      </c>
      <c r="K19" s="39" t="s">
        <v>68</v>
      </c>
      <c r="L19" s="44">
        <v>-9972</v>
      </c>
      <c r="M19" s="44">
        <v>-199.44</v>
      </c>
      <c r="N19" s="44">
        <v>-9772.56</v>
      </c>
    </row>
    <row r="20" spans="1:14" x14ac:dyDescent="0.3">
      <c r="A20" s="39" t="s">
        <v>53</v>
      </c>
      <c r="B20" s="39" t="s">
        <v>63</v>
      </c>
      <c r="C20" s="39" t="s">
        <v>195</v>
      </c>
      <c r="D20" s="39" t="s">
        <v>196</v>
      </c>
      <c r="E20" s="39" t="s">
        <v>8</v>
      </c>
      <c r="F20" s="39" t="s">
        <v>51</v>
      </c>
      <c r="G20" s="39" t="s">
        <v>66</v>
      </c>
      <c r="H20" s="39" t="s">
        <v>46</v>
      </c>
      <c r="I20" s="44">
        <v>23326</v>
      </c>
      <c r="J20" s="44">
        <v>4665</v>
      </c>
      <c r="K20" s="39" t="s">
        <v>68</v>
      </c>
      <c r="L20" s="44">
        <v>4198.5</v>
      </c>
      <c r="M20" s="44">
        <v>83.97</v>
      </c>
      <c r="N20" s="44">
        <v>4114.53</v>
      </c>
    </row>
    <row r="21" spans="1:14" x14ac:dyDescent="0.3">
      <c r="A21" s="39" t="s">
        <v>53</v>
      </c>
      <c r="B21" s="39" t="s">
        <v>63</v>
      </c>
      <c r="C21" s="39" t="s">
        <v>197</v>
      </c>
      <c r="D21" s="39" t="s">
        <v>198</v>
      </c>
      <c r="E21" s="39" t="s">
        <v>8</v>
      </c>
      <c r="F21" s="39" t="s">
        <v>47</v>
      </c>
      <c r="G21" s="39" t="s">
        <v>66</v>
      </c>
      <c r="H21" s="39" t="s">
        <v>46</v>
      </c>
      <c r="I21" s="44">
        <v>15634</v>
      </c>
      <c r="J21" s="44">
        <v>3127</v>
      </c>
      <c r="K21" s="39" t="s">
        <v>68</v>
      </c>
      <c r="L21" s="44">
        <v>2814.3</v>
      </c>
      <c r="M21" s="44">
        <v>56.286000000000001</v>
      </c>
      <c r="N21" s="44">
        <v>2758.0140000000001</v>
      </c>
    </row>
    <row r="22" spans="1:14" x14ac:dyDescent="0.3">
      <c r="A22" s="39" t="s">
        <v>53</v>
      </c>
      <c r="B22" s="39" t="s">
        <v>63</v>
      </c>
      <c r="C22" s="39" t="s">
        <v>199</v>
      </c>
      <c r="D22" s="39" t="s">
        <v>200</v>
      </c>
      <c r="E22" s="39" t="s">
        <v>8</v>
      </c>
      <c r="F22" s="39" t="s">
        <v>51</v>
      </c>
      <c r="G22" s="39" t="s">
        <v>66</v>
      </c>
      <c r="H22" s="39" t="s">
        <v>46</v>
      </c>
      <c r="I22" s="44">
        <v>39512</v>
      </c>
      <c r="J22" s="44">
        <v>7902</v>
      </c>
      <c r="K22" s="39" t="s">
        <v>68</v>
      </c>
      <c r="L22" s="44">
        <v>7111.8</v>
      </c>
      <c r="M22" s="44">
        <v>142.23600000000002</v>
      </c>
      <c r="N22" s="44">
        <v>6969.5640000000003</v>
      </c>
    </row>
    <row r="23" spans="1:14" x14ac:dyDescent="0.3">
      <c r="A23" s="39" t="s">
        <v>44</v>
      </c>
      <c r="B23" s="39" t="s">
        <v>62</v>
      </c>
      <c r="C23" s="39" t="s">
        <v>201</v>
      </c>
      <c r="D23" s="39" t="s">
        <v>202</v>
      </c>
      <c r="E23" s="39" t="s">
        <v>69</v>
      </c>
      <c r="F23" s="39" t="s">
        <v>47</v>
      </c>
      <c r="G23" s="39" t="s">
        <v>65</v>
      </c>
      <c r="H23" s="39" t="s">
        <v>46</v>
      </c>
      <c r="I23" s="44">
        <v>13795.19</v>
      </c>
      <c r="J23" s="44">
        <v>1931.33</v>
      </c>
      <c r="K23" s="39" t="s">
        <v>68</v>
      </c>
      <c r="L23" s="44">
        <v>1738.1969999999999</v>
      </c>
      <c r="M23" s="44">
        <v>34.763939999999998</v>
      </c>
      <c r="N23" s="44">
        <v>1703.4330599999998</v>
      </c>
    </row>
    <row r="24" spans="1:14" x14ac:dyDescent="0.3">
      <c r="A24" s="39" t="s">
        <v>44</v>
      </c>
      <c r="B24" s="39" t="s">
        <v>62</v>
      </c>
      <c r="C24" s="39" t="s">
        <v>203</v>
      </c>
      <c r="D24" s="39" t="s">
        <v>204</v>
      </c>
      <c r="E24" s="39" t="s">
        <v>69</v>
      </c>
      <c r="F24" s="39" t="s">
        <v>47</v>
      </c>
      <c r="G24" s="39" t="s">
        <v>65</v>
      </c>
      <c r="H24" s="39" t="s">
        <v>46</v>
      </c>
      <c r="I24" s="44">
        <v>38342.58</v>
      </c>
      <c r="J24" s="44">
        <v>5367.96</v>
      </c>
      <c r="K24" s="39" t="s">
        <v>68</v>
      </c>
      <c r="L24" s="44">
        <v>4831.1639999999998</v>
      </c>
      <c r="M24" s="44">
        <v>96.623279999999994</v>
      </c>
      <c r="N24" s="44">
        <v>4734.54072</v>
      </c>
    </row>
    <row r="25" spans="1:14" x14ac:dyDescent="0.3">
      <c r="A25" s="39" t="s">
        <v>44</v>
      </c>
      <c r="B25" s="39" t="s">
        <v>62</v>
      </c>
      <c r="C25" s="39" t="s">
        <v>205</v>
      </c>
      <c r="D25" s="39" t="s">
        <v>206</v>
      </c>
      <c r="E25" s="39" t="s">
        <v>69</v>
      </c>
      <c r="F25" s="39" t="s">
        <v>47</v>
      </c>
      <c r="G25" s="39" t="s">
        <v>65</v>
      </c>
      <c r="H25" s="39" t="s">
        <v>46</v>
      </c>
      <c r="I25" s="44">
        <v>31240.17</v>
      </c>
      <c r="J25" s="44">
        <v>4373.62</v>
      </c>
      <c r="K25" s="39" t="s">
        <v>68</v>
      </c>
      <c r="L25" s="44">
        <v>3936.2579999999998</v>
      </c>
      <c r="M25" s="44">
        <v>78.725160000000002</v>
      </c>
      <c r="N25" s="44">
        <v>3857.5328399999999</v>
      </c>
    </row>
    <row r="26" spans="1:14" x14ac:dyDescent="0.3">
      <c r="A26" s="39" t="s">
        <v>44</v>
      </c>
      <c r="B26" s="39" t="s">
        <v>62</v>
      </c>
      <c r="C26" s="39" t="s">
        <v>205</v>
      </c>
      <c r="D26" s="39" t="s">
        <v>206</v>
      </c>
      <c r="E26" s="39" t="s">
        <v>69</v>
      </c>
      <c r="F26" s="39" t="s">
        <v>47</v>
      </c>
      <c r="G26" s="39" t="s">
        <v>65</v>
      </c>
      <c r="H26" s="39" t="s">
        <v>46</v>
      </c>
      <c r="I26" s="44">
        <v>1.1599999999999999</v>
      </c>
      <c r="J26" s="44">
        <v>0.16</v>
      </c>
      <c r="K26" s="39" t="s">
        <v>68</v>
      </c>
      <c r="L26" s="44">
        <v>0.14400000000000002</v>
      </c>
      <c r="M26" s="44">
        <v>2.8800000000000002E-3</v>
      </c>
      <c r="N26" s="44">
        <v>0.14112000000000002</v>
      </c>
    </row>
    <row r="27" spans="1:14" x14ac:dyDescent="0.3">
      <c r="A27" s="39" t="s">
        <v>44</v>
      </c>
      <c r="B27" s="39" t="s">
        <v>62</v>
      </c>
      <c r="C27" s="39" t="s">
        <v>207</v>
      </c>
      <c r="D27" s="39" t="s">
        <v>208</v>
      </c>
      <c r="E27" s="39" t="s">
        <v>69</v>
      </c>
      <c r="F27" s="39" t="s">
        <v>47</v>
      </c>
      <c r="G27" s="39" t="s">
        <v>65</v>
      </c>
      <c r="H27" s="39" t="s">
        <v>46</v>
      </c>
      <c r="I27" s="44">
        <v>22851.43</v>
      </c>
      <c r="J27" s="44">
        <v>3199.2</v>
      </c>
      <c r="K27" s="39" t="s">
        <v>68</v>
      </c>
      <c r="L27" s="44">
        <v>2879.2799999999997</v>
      </c>
      <c r="M27" s="44">
        <v>57.585599999999999</v>
      </c>
      <c r="N27" s="44">
        <v>2821.6943999999999</v>
      </c>
    </row>
    <row r="28" spans="1:14" x14ac:dyDescent="0.3">
      <c r="A28" s="39" t="s">
        <v>44</v>
      </c>
      <c r="B28" s="39" t="s">
        <v>62</v>
      </c>
      <c r="C28" s="39" t="s">
        <v>209</v>
      </c>
      <c r="D28" s="39" t="s">
        <v>210</v>
      </c>
      <c r="E28" s="39" t="s">
        <v>69</v>
      </c>
      <c r="F28" s="39" t="s">
        <v>47</v>
      </c>
      <c r="G28" s="39" t="s">
        <v>65</v>
      </c>
      <c r="H28" s="39" t="s">
        <v>46</v>
      </c>
      <c r="I28" s="44">
        <v>30419.93</v>
      </c>
      <c r="J28" s="44">
        <v>4258.79</v>
      </c>
      <c r="K28" s="39" t="s">
        <v>68</v>
      </c>
      <c r="L28" s="44">
        <v>3832.9110000000001</v>
      </c>
      <c r="M28" s="44">
        <v>76.65822</v>
      </c>
      <c r="N28" s="44">
        <v>3756.2527800000003</v>
      </c>
    </row>
    <row r="29" spans="1:14" x14ac:dyDescent="0.3">
      <c r="A29" s="39" t="s">
        <v>44</v>
      </c>
      <c r="B29" s="39" t="s">
        <v>62</v>
      </c>
      <c r="C29" s="39" t="s">
        <v>209</v>
      </c>
      <c r="D29" s="39" t="s">
        <v>210</v>
      </c>
      <c r="E29" s="39" t="s">
        <v>69</v>
      </c>
      <c r="F29" s="39" t="s">
        <v>47</v>
      </c>
      <c r="G29" s="39" t="s">
        <v>65</v>
      </c>
      <c r="H29" s="39" t="s">
        <v>46</v>
      </c>
      <c r="I29" s="44">
        <v>30419.93</v>
      </c>
      <c r="J29" s="44">
        <v>4258.79</v>
      </c>
      <c r="K29" s="39" t="s">
        <v>68</v>
      </c>
      <c r="L29" s="44">
        <v>3832.9110000000001</v>
      </c>
      <c r="M29" s="44">
        <v>76.65822</v>
      </c>
      <c r="N29" s="44">
        <v>3756.2527800000003</v>
      </c>
    </row>
    <row r="30" spans="1:14" x14ac:dyDescent="0.3">
      <c r="A30" s="39" t="s">
        <v>44</v>
      </c>
      <c r="B30" s="39" t="s">
        <v>62</v>
      </c>
      <c r="C30" s="39" t="s">
        <v>209</v>
      </c>
      <c r="D30" s="39" t="s">
        <v>210</v>
      </c>
      <c r="E30" s="39" t="s">
        <v>69</v>
      </c>
      <c r="F30" s="39" t="s">
        <v>47</v>
      </c>
      <c r="G30" s="39" t="s">
        <v>65</v>
      </c>
      <c r="H30" s="39" t="s">
        <v>46</v>
      </c>
      <c r="I30" s="44">
        <v>30419.93</v>
      </c>
      <c r="J30" s="44">
        <v>4258.79</v>
      </c>
      <c r="K30" s="39" t="s">
        <v>68</v>
      </c>
      <c r="L30" s="44">
        <v>3832.9110000000001</v>
      </c>
      <c r="M30" s="44">
        <v>76.65822</v>
      </c>
      <c r="N30" s="44">
        <v>3756.2527800000003</v>
      </c>
    </row>
    <row r="31" spans="1:14" x14ac:dyDescent="0.3">
      <c r="A31" s="39" t="s">
        <v>44</v>
      </c>
      <c r="B31" s="39" t="s">
        <v>62</v>
      </c>
      <c r="C31" s="39" t="s">
        <v>209</v>
      </c>
      <c r="D31" s="39" t="s">
        <v>210</v>
      </c>
      <c r="E31" s="39" t="s">
        <v>69</v>
      </c>
      <c r="F31" s="39" t="s">
        <v>47</v>
      </c>
      <c r="G31" s="39" t="s">
        <v>65</v>
      </c>
      <c r="H31" s="39" t="s">
        <v>46</v>
      </c>
      <c r="I31" s="44">
        <v>30419.93</v>
      </c>
      <c r="J31" s="44">
        <v>4258.79</v>
      </c>
      <c r="K31" s="39" t="s">
        <v>68</v>
      </c>
      <c r="L31" s="44">
        <v>3832.9110000000001</v>
      </c>
      <c r="M31" s="44">
        <v>76.65822</v>
      </c>
      <c r="N31" s="44">
        <v>3756.2527800000003</v>
      </c>
    </row>
    <row r="32" spans="1:14" x14ac:dyDescent="0.3">
      <c r="A32" s="39" t="s">
        <v>44</v>
      </c>
      <c r="B32" s="39" t="s">
        <v>62</v>
      </c>
      <c r="C32" s="39" t="s">
        <v>209</v>
      </c>
      <c r="D32" s="39" t="s">
        <v>210</v>
      </c>
      <c r="E32" s="39" t="s">
        <v>69</v>
      </c>
      <c r="F32" s="39" t="s">
        <v>47</v>
      </c>
      <c r="G32" s="39" t="s">
        <v>65</v>
      </c>
      <c r="H32" s="39" t="s">
        <v>46</v>
      </c>
      <c r="I32" s="44">
        <v>30419.93</v>
      </c>
      <c r="J32" s="44">
        <v>4258.79</v>
      </c>
      <c r="K32" s="39" t="s">
        <v>68</v>
      </c>
      <c r="L32" s="44">
        <v>3832.9110000000001</v>
      </c>
      <c r="M32" s="44">
        <v>76.65822</v>
      </c>
      <c r="N32" s="44">
        <v>3756.2527800000003</v>
      </c>
    </row>
    <row r="33" spans="1:14" x14ac:dyDescent="0.3">
      <c r="A33" s="39" t="s">
        <v>44</v>
      </c>
      <c r="B33" s="39" t="s">
        <v>62</v>
      </c>
      <c r="C33" s="39" t="s">
        <v>209</v>
      </c>
      <c r="D33" s="39" t="s">
        <v>210</v>
      </c>
      <c r="E33" s="39" t="s">
        <v>69</v>
      </c>
      <c r="F33" s="39" t="s">
        <v>47</v>
      </c>
      <c r="G33" s="39" t="s">
        <v>65</v>
      </c>
      <c r="H33" s="39" t="s">
        <v>46</v>
      </c>
      <c r="I33" s="44">
        <v>30419.93</v>
      </c>
      <c r="J33" s="44">
        <v>4258.79</v>
      </c>
      <c r="K33" s="39" t="s">
        <v>68</v>
      </c>
      <c r="L33" s="44">
        <v>3832.9110000000001</v>
      </c>
      <c r="M33" s="44">
        <v>76.65822</v>
      </c>
      <c r="N33" s="44">
        <v>3756.2527800000003</v>
      </c>
    </row>
    <row r="34" spans="1:14" x14ac:dyDescent="0.3">
      <c r="A34" s="39" t="s">
        <v>44</v>
      </c>
      <c r="B34" s="39" t="s">
        <v>62</v>
      </c>
      <c r="C34" s="39" t="s">
        <v>209</v>
      </c>
      <c r="D34" s="39" t="s">
        <v>210</v>
      </c>
      <c r="E34" s="39" t="s">
        <v>69</v>
      </c>
      <c r="F34" s="39" t="s">
        <v>47</v>
      </c>
      <c r="G34" s="39" t="s">
        <v>65</v>
      </c>
      <c r="H34" s="39" t="s">
        <v>46</v>
      </c>
      <c r="I34" s="44">
        <v>30419.93</v>
      </c>
      <c r="J34" s="44">
        <v>4258.79</v>
      </c>
      <c r="K34" s="39" t="s">
        <v>68</v>
      </c>
      <c r="L34" s="44">
        <v>3832.9110000000001</v>
      </c>
      <c r="M34" s="44">
        <v>76.65822</v>
      </c>
      <c r="N34" s="44">
        <v>3756.2527800000003</v>
      </c>
    </row>
    <row r="35" spans="1:14" x14ac:dyDescent="0.3">
      <c r="A35" s="39" t="s">
        <v>44</v>
      </c>
      <c r="B35" s="39" t="s">
        <v>62</v>
      </c>
      <c r="C35" s="39" t="s">
        <v>209</v>
      </c>
      <c r="D35" s="39" t="s">
        <v>210</v>
      </c>
      <c r="E35" s="39" t="s">
        <v>69</v>
      </c>
      <c r="F35" s="39" t="s">
        <v>47</v>
      </c>
      <c r="G35" s="39" t="s">
        <v>65</v>
      </c>
      <c r="H35" s="39" t="s">
        <v>46</v>
      </c>
      <c r="I35" s="44">
        <v>30419.93</v>
      </c>
      <c r="J35" s="44">
        <v>4258.79</v>
      </c>
      <c r="K35" s="39" t="s">
        <v>68</v>
      </c>
      <c r="L35" s="44">
        <v>3832.9110000000001</v>
      </c>
      <c r="M35" s="44">
        <v>76.65822</v>
      </c>
      <c r="N35" s="44">
        <v>3756.2527800000003</v>
      </c>
    </row>
    <row r="36" spans="1:14" x14ac:dyDescent="0.3">
      <c r="A36" s="39" t="s">
        <v>44</v>
      </c>
      <c r="B36" s="39" t="s">
        <v>62</v>
      </c>
      <c r="C36" s="39" t="s">
        <v>209</v>
      </c>
      <c r="D36" s="39" t="s">
        <v>210</v>
      </c>
      <c r="E36" s="39" t="s">
        <v>69</v>
      </c>
      <c r="F36" s="39" t="s">
        <v>47</v>
      </c>
      <c r="G36" s="39" t="s">
        <v>65</v>
      </c>
      <c r="H36" s="39" t="s">
        <v>46</v>
      </c>
      <c r="I36" s="44">
        <v>30419.93</v>
      </c>
      <c r="J36" s="44">
        <v>4258.79</v>
      </c>
      <c r="K36" s="39" t="s">
        <v>68</v>
      </c>
      <c r="L36" s="44">
        <v>3832.9110000000001</v>
      </c>
      <c r="M36" s="44">
        <v>76.65822</v>
      </c>
      <c r="N36" s="44">
        <v>3756.2527800000003</v>
      </c>
    </row>
    <row r="37" spans="1:14" x14ac:dyDescent="0.3">
      <c r="A37" s="39" t="s">
        <v>44</v>
      </c>
      <c r="B37" s="39" t="s">
        <v>62</v>
      </c>
      <c r="C37" s="39" t="s">
        <v>209</v>
      </c>
      <c r="D37" s="39" t="s">
        <v>210</v>
      </c>
      <c r="E37" s="39" t="s">
        <v>69</v>
      </c>
      <c r="F37" s="39" t="s">
        <v>47</v>
      </c>
      <c r="G37" s="39" t="s">
        <v>65</v>
      </c>
      <c r="H37" s="39" t="s">
        <v>46</v>
      </c>
      <c r="I37" s="44">
        <v>30419.84</v>
      </c>
      <c r="J37" s="44">
        <v>4258.78</v>
      </c>
      <c r="K37" s="39" t="s">
        <v>68</v>
      </c>
      <c r="L37" s="44">
        <v>3832.902</v>
      </c>
      <c r="M37" s="44">
        <v>76.65804</v>
      </c>
      <c r="N37" s="44">
        <v>3756.2439600000002</v>
      </c>
    </row>
    <row r="38" spans="1:14" x14ac:dyDescent="0.3">
      <c r="A38" s="39" t="s">
        <v>44</v>
      </c>
      <c r="B38" s="39" t="s">
        <v>62</v>
      </c>
      <c r="C38" s="39" t="s">
        <v>209</v>
      </c>
      <c r="D38" s="39" t="s">
        <v>210</v>
      </c>
      <c r="E38" s="39" t="s">
        <v>69</v>
      </c>
      <c r="F38" s="39" t="s">
        <v>47</v>
      </c>
      <c r="G38" s="39" t="s">
        <v>65</v>
      </c>
      <c r="H38" s="39" t="s">
        <v>46</v>
      </c>
      <c r="I38" s="44">
        <v>-304199.21000000002</v>
      </c>
      <c r="J38" s="44">
        <v>-42587.88</v>
      </c>
      <c r="K38" s="39" t="s">
        <v>68</v>
      </c>
      <c r="L38" s="44">
        <v>-38329.091999999997</v>
      </c>
      <c r="M38" s="44">
        <v>-766.58183999999994</v>
      </c>
      <c r="N38" s="44">
        <v>-37562.510159999998</v>
      </c>
    </row>
    <row r="39" spans="1:14" x14ac:dyDescent="0.3">
      <c r="A39" s="39" t="s">
        <v>44</v>
      </c>
      <c r="B39" s="39" t="s">
        <v>62</v>
      </c>
      <c r="C39" s="39" t="s">
        <v>211</v>
      </c>
      <c r="D39" s="39" t="s">
        <v>212</v>
      </c>
      <c r="E39" s="39" t="s">
        <v>69</v>
      </c>
      <c r="F39" s="39" t="s">
        <v>45</v>
      </c>
      <c r="G39" s="39" t="s">
        <v>65</v>
      </c>
      <c r="H39" s="39" t="s">
        <v>46</v>
      </c>
      <c r="I39" s="44">
        <v>31960.34</v>
      </c>
      <c r="J39" s="44">
        <v>4474.45</v>
      </c>
      <c r="K39" s="39" t="s">
        <v>68</v>
      </c>
      <c r="L39" s="44">
        <v>4027.0050000000001</v>
      </c>
      <c r="M39" s="44">
        <v>80.54010000000001</v>
      </c>
      <c r="N39" s="44">
        <v>3946.4648999999999</v>
      </c>
    </row>
    <row r="40" spans="1:14" x14ac:dyDescent="0.3">
      <c r="A40" s="39" t="s">
        <v>44</v>
      </c>
      <c r="B40" s="39" t="s">
        <v>62</v>
      </c>
      <c r="C40" s="39" t="s">
        <v>213</v>
      </c>
      <c r="D40" s="39" t="s">
        <v>214</v>
      </c>
      <c r="E40" s="39" t="s">
        <v>69</v>
      </c>
      <c r="F40" s="39" t="s">
        <v>47</v>
      </c>
      <c r="G40" s="39" t="s">
        <v>65</v>
      </c>
      <c r="H40" s="39" t="s">
        <v>46</v>
      </c>
      <c r="I40" s="44">
        <v>126581.48</v>
      </c>
      <c r="J40" s="44">
        <v>17721.400000000001</v>
      </c>
      <c r="K40" s="39" t="s">
        <v>68</v>
      </c>
      <c r="L40" s="44">
        <v>15949.260000000002</v>
      </c>
      <c r="M40" s="44">
        <v>318.98520000000002</v>
      </c>
      <c r="N40" s="44">
        <v>15630.274800000003</v>
      </c>
    </row>
    <row r="41" spans="1:14" x14ac:dyDescent="0.3">
      <c r="A41" s="39" t="s">
        <v>44</v>
      </c>
      <c r="B41" s="39" t="s">
        <v>62</v>
      </c>
      <c r="C41" s="39" t="s">
        <v>201</v>
      </c>
      <c r="D41" s="39" t="s">
        <v>202</v>
      </c>
      <c r="E41" s="39" t="s">
        <v>69</v>
      </c>
      <c r="F41" s="39" t="s">
        <v>47</v>
      </c>
      <c r="G41" s="39" t="s">
        <v>65</v>
      </c>
      <c r="H41" s="39" t="s">
        <v>46</v>
      </c>
      <c r="I41" s="44">
        <v>5553.31</v>
      </c>
      <c r="J41" s="44">
        <v>777.46</v>
      </c>
      <c r="K41" s="39" t="s">
        <v>68</v>
      </c>
      <c r="L41" s="44">
        <v>699.71400000000006</v>
      </c>
      <c r="M41" s="44">
        <v>13.994280000000002</v>
      </c>
      <c r="N41" s="44">
        <v>685.71972000000005</v>
      </c>
    </row>
    <row r="42" spans="1:14" x14ac:dyDescent="0.3">
      <c r="A42" s="39" t="s">
        <v>44</v>
      </c>
      <c r="B42" s="39" t="s">
        <v>62</v>
      </c>
      <c r="C42" s="39" t="s">
        <v>215</v>
      </c>
      <c r="D42" s="39" t="s">
        <v>216</v>
      </c>
      <c r="E42" s="39" t="s">
        <v>73</v>
      </c>
      <c r="F42" s="39" t="s">
        <v>45</v>
      </c>
      <c r="G42" s="39" t="s">
        <v>65</v>
      </c>
      <c r="H42" s="39" t="s">
        <v>46</v>
      </c>
      <c r="I42" s="44">
        <v>143719.85999999999</v>
      </c>
      <c r="J42" s="44">
        <v>25869.57</v>
      </c>
      <c r="K42" s="39" t="s">
        <v>68</v>
      </c>
      <c r="L42" s="44">
        <v>23282.613000000001</v>
      </c>
      <c r="M42" s="44">
        <v>465.65226000000001</v>
      </c>
      <c r="N42" s="44">
        <v>22816.960740000002</v>
      </c>
    </row>
    <row r="43" spans="1:14" x14ac:dyDescent="0.3">
      <c r="A43" s="39" t="s">
        <v>44</v>
      </c>
      <c r="B43" s="39" t="s">
        <v>62</v>
      </c>
      <c r="C43" s="39" t="s">
        <v>217</v>
      </c>
      <c r="D43" s="39" t="s">
        <v>218</v>
      </c>
      <c r="E43" s="39" t="s">
        <v>64</v>
      </c>
      <c r="F43" s="39" t="s">
        <v>45</v>
      </c>
      <c r="G43" s="39" t="s">
        <v>65</v>
      </c>
      <c r="H43" s="39" t="s">
        <v>46</v>
      </c>
      <c r="I43" s="44">
        <v>132594.46</v>
      </c>
      <c r="J43" s="44">
        <v>19889.169999999998</v>
      </c>
      <c r="K43" s="39" t="s">
        <v>68</v>
      </c>
      <c r="L43" s="44">
        <v>17900.253000000001</v>
      </c>
      <c r="M43" s="44">
        <v>358.00506000000001</v>
      </c>
      <c r="N43" s="44">
        <v>17542.247940000001</v>
      </c>
    </row>
    <row r="44" spans="1:14" x14ac:dyDescent="0.3">
      <c r="A44" s="39" t="s">
        <v>44</v>
      </c>
      <c r="B44" s="39" t="s">
        <v>62</v>
      </c>
      <c r="C44" s="39" t="s">
        <v>219</v>
      </c>
      <c r="D44" s="39" t="s">
        <v>220</v>
      </c>
      <c r="E44" s="39" t="s">
        <v>64</v>
      </c>
      <c r="F44" s="39" t="s">
        <v>47</v>
      </c>
      <c r="G44" s="39" t="s">
        <v>65</v>
      </c>
      <c r="H44" s="39" t="s">
        <v>46</v>
      </c>
      <c r="I44" s="44">
        <v>31971.93</v>
      </c>
      <c r="J44" s="44">
        <v>4476.07</v>
      </c>
      <c r="K44" s="39" t="s">
        <v>68</v>
      </c>
      <c r="L44" s="44">
        <v>4028.4629999999997</v>
      </c>
      <c r="M44" s="44">
        <v>80.56926</v>
      </c>
      <c r="N44" s="44">
        <v>3947.8937399999995</v>
      </c>
    </row>
    <row r="45" spans="1:14" x14ac:dyDescent="0.3">
      <c r="A45" s="39" t="s">
        <v>44</v>
      </c>
      <c r="B45" s="39" t="s">
        <v>62</v>
      </c>
      <c r="C45" s="39" t="s">
        <v>221</v>
      </c>
      <c r="D45" s="39" t="s">
        <v>222</v>
      </c>
      <c r="E45" s="39" t="s">
        <v>64</v>
      </c>
      <c r="F45" s="39" t="s">
        <v>45</v>
      </c>
      <c r="G45" s="39" t="s">
        <v>65</v>
      </c>
      <c r="H45" s="39" t="s">
        <v>46</v>
      </c>
      <c r="I45" s="44">
        <v>22425.29</v>
      </c>
      <c r="J45" s="44">
        <v>3139.55</v>
      </c>
      <c r="K45" s="39" t="s">
        <v>68</v>
      </c>
      <c r="L45" s="44">
        <v>2825.5950000000003</v>
      </c>
      <c r="M45" s="44">
        <v>56.511900000000004</v>
      </c>
      <c r="N45" s="44">
        <v>2769.0831000000003</v>
      </c>
    </row>
    <row r="46" spans="1:14" x14ac:dyDescent="0.3">
      <c r="A46" s="39" t="s">
        <v>44</v>
      </c>
      <c r="B46" s="39" t="s">
        <v>62</v>
      </c>
      <c r="C46" s="39" t="s">
        <v>223</v>
      </c>
      <c r="D46" s="39" t="s">
        <v>224</v>
      </c>
      <c r="E46" s="39" t="s">
        <v>64</v>
      </c>
      <c r="F46" s="39" t="s">
        <v>47</v>
      </c>
      <c r="G46" s="39" t="s">
        <v>65</v>
      </c>
      <c r="H46" s="39" t="s">
        <v>46</v>
      </c>
      <c r="I46" s="44">
        <v>116475.06</v>
      </c>
      <c r="J46" s="44">
        <v>16306.5</v>
      </c>
      <c r="K46" s="39" t="s">
        <v>68</v>
      </c>
      <c r="L46" s="44">
        <v>14675.85</v>
      </c>
      <c r="M46" s="44">
        <v>293.517</v>
      </c>
      <c r="N46" s="44">
        <v>14382.333000000001</v>
      </c>
    </row>
    <row r="47" spans="1:14" x14ac:dyDescent="0.3">
      <c r="A47" s="39" t="s">
        <v>44</v>
      </c>
      <c r="B47" s="39" t="s">
        <v>62</v>
      </c>
      <c r="C47" s="39" t="s">
        <v>225</v>
      </c>
      <c r="D47" s="39" t="s">
        <v>210</v>
      </c>
      <c r="E47" s="39" t="s">
        <v>64</v>
      </c>
      <c r="F47" s="39" t="s">
        <v>47</v>
      </c>
      <c r="G47" s="39" t="s">
        <v>65</v>
      </c>
      <c r="H47" s="39" t="s">
        <v>46</v>
      </c>
      <c r="I47" s="44">
        <v>25759.02</v>
      </c>
      <c r="J47" s="44">
        <v>3606.26</v>
      </c>
      <c r="K47" s="39" t="s">
        <v>68</v>
      </c>
      <c r="L47" s="44">
        <v>3245.6340000000005</v>
      </c>
      <c r="M47" s="44">
        <v>64.912680000000009</v>
      </c>
      <c r="N47" s="44">
        <v>3180.7213200000006</v>
      </c>
    </row>
    <row r="48" spans="1:14" x14ac:dyDescent="0.3">
      <c r="A48" s="39" t="s">
        <v>44</v>
      </c>
      <c r="B48" s="39" t="s">
        <v>62</v>
      </c>
      <c r="C48" s="39" t="s">
        <v>226</v>
      </c>
      <c r="D48" s="39" t="s">
        <v>227</v>
      </c>
      <c r="E48" s="39" t="s">
        <v>64</v>
      </c>
      <c r="F48" s="39" t="s">
        <v>47</v>
      </c>
      <c r="G48" s="39" t="s">
        <v>65</v>
      </c>
      <c r="H48" s="39" t="s">
        <v>46</v>
      </c>
      <c r="I48" s="44">
        <v>25417.48</v>
      </c>
      <c r="J48" s="44">
        <v>3558.45</v>
      </c>
      <c r="K48" s="39" t="s">
        <v>68</v>
      </c>
      <c r="L48" s="44">
        <v>3202.605</v>
      </c>
      <c r="M48" s="44">
        <v>64.052099999999996</v>
      </c>
      <c r="N48" s="44">
        <v>3138.5529000000001</v>
      </c>
    </row>
    <row r="49" spans="1:15" x14ac:dyDescent="0.3">
      <c r="A49" s="39" t="s">
        <v>44</v>
      </c>
      <c r="B49" s="39" t="s">
        <v>62</v>
      </c>
      <c r="C49" s="39" t="s">
        <v>228</v>
      </c>
      <c r="D49" s="39" t="s">
        <v>229</v>
      </c>
      <c r="E49" s="39" t="s">
        <v>49</v>
      </c>
      <c r="F49" s="39" t="s">
        <v>45</v>
      </c>
      <c r="G49" s="39" t="s">
        <v>65</v>
      </c>
      <c r="H49" s="39" t="s">
        <v>46</v>
      </c>
      <c r="I49" s="44">
        <v>153637.13</v>
      </c>
      <c r="J49" s="44">
        <v>19972.830000000002</v>
      </c>
      <c r="K49" s="39" t="s">
        <v>68</v>
      </c>
      <c r="L49" s="44">
        <v>17975.547000000002</v>
      </c>
      <c r="M49" s="44">
        <v>359.51094000000006</v>
      </c>
      <c r="N49" s="44">
        <v>17616.036060000002</v>
      </c>
    </row>
    <row r="50" spans="1:15" x14ac:dyDescent="0.3">
      <c r="A50" s="39" t="s">
        <v>44</v>
      </c>
      <c r="B50" s="39" t="s">
        <v>62</v>
      </c>
      <c r="C50" s="39" t="s">
        <v>228</v>
      </c>
      <c r="D50" s="39" t="s">
        <v>48</v>
      </c>
      <c r="E50" s="39" t="s">
        <v>49</v>
      </c>
      <c r="F50" s="39" t="s">
        <v>45</v>
      </c>
      <c r="G50" s="39" t="s">
        <v>65</v>
      </c>
      <c r="H50" s="39" t="s">
        <v>46</v>
      </c>
      <c r="I50" s="44">
        <v>8142.77</v>
      </c>
      <c r="J50" s="44">
        <v>1058.56</v>
      </c>
      <c r="K50" s="39" t="s">
        <v>68</v>
      </c>
      <c r="L50" s="44">
        <v>952.70399999999995</v>
      </c>
      <c r="M50" s="44">
        <v>19.054079999999999</v>
      </c>
      <c r="N50" s="44">
        <v>933.64991999999995</v>
      </c>
    </row>
    <row r="51" spans="1:15" x14ac:dyDescent="0.3">
      <c r="A51" s="39" t="s">
        <v>44</v>
      </c>
      <c r="B51" s="39" t="s">
        <v>62</v>
      </c>
      <c r="C51" s="39" t="s">
        <v>230</v>
      </c>
      <c r="D51" s="39" t="s">
        <v>231</v>
      </c>
      <c r="E51" s="39" t="s">
        <v>49</v>
      </c>
      <c r="F51" s="39" t="s">
        <v>47</v>
      </c>
      <c r="G51" s="39" t="s">
        <v>65</v>
      </c>
      <c r="H51" s="39" t="s">
        <v>46</v>
      </c>
      <c r="I51" s="44">
        <v>30946.97</v>
      </c>
      <c r="J51" s="44">
        <v>4023.11</v>
      </c>
      <c r="K51" s="39" t="s">
        <v>68</v>
      </c>
      <c r="L51" s="44">
        <v>3620.799</v>
      </c>
      <c r="M51" s="44">
        <v>72.415980000000005</v>
      </c>
      <c r="N51" s="44">
        <v>3548.3830199999998</v>
      </c>
    </row>
    <row r="52" spans="1:15" x14ac:dyDescent="0.3">
      <c r="A52" s="39" t="s">
        <v>44</v>
      </c>
      <c r="B52" s="39" t="s">
        <v>62</v>
      </c>
      <c r="C52" s="39" t="s">
        <v>230</v>
      </c>
      <c r="D52" s="39" t="s">
        <v>48</v>
      </c>
      <c r="E52" s="39" t="s">
        <v>49</v>
      </c>
      <c r="F52" s="39" t="s">
        <v>47</v>
      </c>
      <c r="G52" s="39" t="s">
        <v>65</v>
      </c>
      <c r="H52" s="39" t="s">
        <v>46</v>
      </c>
      <c r="I52" s="44">
        <v>3063.75</v>
      </c>
      <c r="J52" s="44">
        <v>398.29</v>
      </c>
      <c r="K52" s="39" t="s">
        <v>68</v>
      </c>
      <c r="L52" s="44">
        <v>358.46100000000001</v>
      </c>
      <c r="M52" s="44">
        <v>7.1692200000000001</v>
      </c>
      <c r="N52" s="44">
        <v>351.29178000000002</v>
      </c>
    </row>
    <row r="53" spans="1:15" x14ac:dyDescent="0.3">
      <c r="A53" s="39" t="s">
        <v>44</v>
      </c>
      <c r="B53" s="39" t="s">
        <v>62</v>
      </c>
      <c r="C53" s="39" t="s">
        <v>232</v>
      </c>
      <c r="D53" s="39" t="s">
        <v>233</v>
      </c>
      <c r="E53" s="39" t="s">
        <v>49</v>
      </c>
      <c r="F53" s="39" t="s">
        <v>47</v>
      </c>
      <c r="G53" s="39" t="s">
        <v>65</v>
      </c>
      <c r="H53" s="39" t="s">
        <v>46</v>
      </c>
      <c r="I53" s="44">
        <v>35150.870000000003</v>
      </c>
      <c r="J53" s="44">
        <v>4569.6099999999997</v>
      </c>
      <c r="K53" s="39" t="s">
        <v>68</v>
      </c>
      <c r="L53" s="44">
        <v>4112.6489999999994</v>
      </c>
      <c r="M53" s="44">
        <v>82.252979999999994</v>
      </c>
      <c r="N53" s="44">
        <v>4030.3960199999992</v>
      </c>
    </row>
    <row r="54" spans="1:15" x14ac:dyDescent="0.3">
      <c r="A54" s="39" t="s">
        <v>44</v>
      </c>
      <c r="B54" s="39" t="s">
        <v>62</v>
      </c>
      <c r="C54" s="39" t="s">
        <v>232</v>
      </c>
      <c r="D54" s="39" t="s">
        <v>48</v>
      </c>
      <c r="E54" s="39" t="s">
        <v>49</v>
      </c>
      <c r="F54" s="39" t="s">
        <v>47</v>
      </c>
      <c r="G54" s="39" t="s">
        <v>65</v>
      </c>
      <c r="H54" s="39" t="s">
        <v>46</v>
      </c>
      <c r="I54" s="44">
        <v>3479.94</v>
      </c>
      <c r="J54" s="44">
        <v>452.39</v>
      </c>
      <c r="K54" s="39" t="s">
        <v>68</v>
      </c>
      <c r="L54" s="44">
        <v>407.15100000000001</v>
      </c>
      <c r="M54" s="44">
        <v>8.1430199999999999</v>
      </c>
      <c r="N54" s="44">
        <v>399.00798000000003</v>
      </c>
    </row>
    <row r="55" spans="1:15" x14ac:dyDescent="0.3">
      <c r="A55" s="39"/>
      <c r="B55" s="39"/>
      <c r="C55" s="39"/>
      <c r="D55" s="39"/>
      <c r="E55" s="39"/>
      <c r="F55" s="39"/>
      <c r="G55" s="39"/>
      <c r="H55" s="39"/>
      <c r="I55" s="44"/>
      <c r="J55" s="50" t="s">
        <v>4</v>
      </c>
      <c r="K55" s="50"/>
      <c r="L55" s="50">
        <f>SUM(L2:L54)</f>
        <v>381710.6550000002</v>
      </c>
      <c r="M55" s="50"/>
      <c r="N55" s="50"/>
    </row>
    <row r="56" spans="1:15" x14ac:dyDescent="0.3">
      <c r="A56" s="39"/>
      <c r="B56" s="39"/>
      <c r="C56" s="39"/>
      <c r="D56" s="39"/>
      <c r="E56" s="39"/>
      <c r="F56" s="39"/>
      <c r="G56" s="39"/>
      <c r="H56" s="39"/>
      <c r="I56" s="44"/>
      <c r="J56" s="50" t="s">
        <v>5</v>
      </c>
      <c r="K56" s="50"/>
      <c r="L56" s="50">
        <f>+L55*13%</f>
        <v>49622.385150000031</v>
      </c>
      <c r="M56" s="50"/>
      <c r="N56" s="50"/>
    </row>
    <row r="57" spans="1:15" x14ac:dyDescent="0.3">
      <c r="A57" s="39"/>
      <c r="B57" s="39"/>
      <c r="C57" s="39"/>
      <c r="D57" s="39"/>
      <c r="E57" s="39"/>
      <c r="F57" s="39"/>
      <c r="G57" s="39"/>
      <c r="H57" s="39"/>
      <c r="I57" s="44"/>
      <c r="J57" s="51" t="s">
        <v>2</v>
      </c>
      <c r="K57" s="51"/>
      <c r="L57" s="51">
        <f>+L55+L56</f>
        <v>431333.04015000025</v>
      </c>
      <c r="M57" s="51"/>
      <c r="N57" s="51"/>
    </row>
    <row r="58" spans="1:15" x14ac:dyDescent="0.3">
      <c r="A58" s="39"/>
      <c r="B58" s="39"/>
      <c r="C58" s="39"/>
      <c r="D58" s="39"/>
      <c r="E58" s="39"/>
      <c r="F58" s="39"/>
      <c r="G58" s="39"/>
      <c r="H58" s="39"/>
      <c r="I58" s="44"/>
      <c r="J58" s="50" t="s">
        <v>6</v>
      </c>
      <c r="K58" s="50"/>
      <c r="L58" s="50">
        <f>+L55*2%</f>
        <v>7634.2131000000045</v>
      </c>
      <c r="M58" s="50"/>
      <c r="N58" s="50"/>
    </row>
    <row r="59" spans="1:15" ht="15.75" customHeight="1" x14ac:dyDescent="0.3">
      <c r="J59" s="50" t="s">
        <v>1</v>
      </c>
      <c r="K59" s="50"/>
      <c r="L59" s="50">
        <f>+L57-L58</f>
        <v>423698.82705000025</v>
      </c>
      <c r="M59" s="50"/>
      <c r="N59" s="50"/>
    </row>
    <row r="60" spans="1:15" ht="15.75" customHeight="1" x14ac:dyDescent="0.3">
      <c r="J60" s="39"/>
      <c r="K60" s="39"/>
      <c r="L60" s="39"/>
      <c r="M60" s="39"/>
      <c r="N60" s="39"/>
    </row>
    <row r="62" spans="1:15" x14ac:dyDescent="0.3">
      <c r="A62" s="40" t="s">
        <v>35</v>
      </c>
      <c r="B62" s="40" t="s">
        <v>56</v>
      </c>
      <c r="C62" s="40" t="s">
        <v>57</v>
      </c>
      <c r="D62" s="40" t="s">
        <v>58</v>
      </c>
      <c r="E62" s="40" t="s">
        <v>36</v>
      </c>
      <c r="F62" s="40" t="s">
        <v>37</v>
      </c>
      <c r="G62" s="40" t="s">
        <v>38</v>
      </c>
      <c r="H62" s="40" t="s">
        <v>39</v>
      </c>
      <c r="I62" s="41" t="s">
        <v>40</v>
      </c>
      <c r="J62" s="42" t="s">
        <v>59</v>
      </c>
      <c r="K62" s="41" t="s">
        <v>41</v>
      </c>
      <c r="L62" s="41" t="s">
        <v>67</v>
      </c>
      <c r="M62" s="41" t="s">
        <v>60</v>
      </c>
      <c r="N62" s="41" t="s">
        <v>42</v>
      </c>
      <c r="O62" s="40" t="s">
        <v>43</v>
      </c>
    </row>
    <row r="63" spans="1:15" x14ac:dyDescent="0.3">
      <c r="A63" s="39" t="s">
        <v>53</v>
      </c>
      <c r="B63" s="39" t="s">
        <v>63</v>
      </c>
      <c r="C63" s="39" t="s">
        <v>234</v>
      </c>
      <c r="D63" s="39" t="s">
        <v>235</v>
      </c>
      <c r="E63" s="39" t="s">
        <v>55</v>
      </c>
      <c r="F63" s="39" t="s">
        <v>50</v>
      </c>
      <c r="G63" s="39" t="s">
        <v>66</v>
      </c>
      <c r="H63" s="39" t="s">
        <v>52</v>
      </c>
      <c r="I63" s="44">
        <v>342.35</v>
      </c>
      <c r="J63" s="44">
        <v>46.21</v>
      </c>
      <c r="K63" s="39" t="s">
        <v>68</v>
      </c>
      <c r="L63" s="44">
        <v>41.588999999999999</v>
      </c>
      <c r="M63" s="44">
        <v>0.83177999999999996</v>
      </c>
      <c r="N63" s="44">
        <v>40.757219999999997</v>
      </c>
    </row>
    <row r="64" spans="1:15" x14ac:dyDescent="0.3">
      <c r="A64" s="39" t="s">
        <v>53</v>
      </c>
      <c r="B64" s="39" t="s">
        <v>63</v>
      </c>
      <c r="C64" s="39" t="s">
        <v>236</v>
      </c>
      <c r="D64" s="39" t="s">
        <v>237</v>
      </c>
      <c r="E64" s="39" t="s">
        <v>55</v>
      </c>
      <c r="F64" s="39" t="s">
        <v>50</v>
      </c>
      <c r="G64" s="39" t="s">
        <v>66</v>
      </c>
      <c r="H64" s="39" t="s">
        <v>52</v>
      </c>
      <c r="I64" s="44">
        <v>1563.88</v>
      </c>
      <c r="J64" s="44">
        <v>211.12</v>
      </c>
      <c r="K64" s="39" t="s">
        <v>68</v>
      </c>
      <c r="L64" s="44">
        <v>190.00800000000001</v>
      </c>
      <c r="M64" s="44">
        <v>3.8001600000000004</v>
      </c>
      <c r="N64" s="44">
        <v>186.20784</v>
      </c>
    </row>
    <row r="65" spans="1:14" x14ac:dyDescent="0.3">
      <c r="A65" s="39" t="s">
        <v>53</v>
      </c>
      <c r="B65" s="39" t="s">
        <v>63</v>
      </c>
      <c r="C65" s="39" t="s">
        <v>238</v>
      </c>
      <c r="D65" s="39" t="s">
        <v>239</v>
      </c>
      <c r="E65" s="39" t="s">
        <v>55</v>
      </c>
      <c r="F65" s="39" t="s">
        <v>45</v>
      </c>
      <c r="G65" s="39" t="s">
        <v>66</v>
      </c>
      <c r="H65" s="39" t="s">
        <v>52</v>
      </c>
      <c r="I65" s="44">
        <v>259.54000000000002</v>
      </c>
      <c r="J65" s="44">
        <v>35.04</v>
      </c>
      <c r="K65" s="39" t="s">
        <v>68</v>
      </c>
      <c r="L65" s="44">
        <v>31.536000000000001</v>
      </c>
      <c r="M65" s="44">
        <v>0.63072000000000006</v>
      </c>
      <c r="N65" s="44">
        <v>30.905280000000001</v>
      </c>
    </row>
    <row r="66" spans="1:14" x14ac:dyDescent="0.3">
      <c r="A66" s="39" t="s">
        <v>53</v>
      </c>
      <c r="B66" s="39" t="s">
        <v>63</v>
      </c>
      <c r="C66" s="39" t="s">
        <v>240</v>
      </c>
      <c r="D66" s="39" t="s">
        <v>241</v>
      </c>
      <c r="E66" s="39" t="s">
        <v>55</v>
      </c>
      <c r="F66" s="39" t="s">
        <v>50</v>
      </c>
      <c r="G66" s="39" t="s">
        <v>66</v>
      </c>
      <c r="H66" s="39" t="s">
        <v>52</v>
      </c>
      <c r="I66" s="44">
        <v>410.82</v>
      </c>
      <c r="J66" s="44">
        <v>55.46</v>
      </c>
      <c r="K66" s="39" t="s">
        <v>68</v>
      </c>
      <c r="L66" s="44">
        <v>49.914000000000001</v>
      </c>
      <c r="M66" s="44">
        <v>0.99828000000000006</v>
      </c>
      <c r="N66" s="44">
        <v>48.91572</v>
      </c>
    </row>
    <row r="67" spans="1:14" x14ac:dyDescent="0.3">
      <c r="A67" s="39" t="s">
        <v>53</v>
      </c>
      <c r="B67" s="39" t="s">
        <v>63</v>
      </c>
      <c r="C67" s="39" t="s">
        <v>242</v>
      </c>
      <c r="D67" s="39" t="s">
        <v>243</v>
      </c>
      <c r="E67" s="39" t="s">
        <v>55</v>
      </c>
      <c r="F67" s="39" t="s">
        <v>50</v>
      </c>
      <c r="G67" s="39" t="s">
        <v>66</v>
      </c>
      <c r="H67" s="39" t="s">
        <v>52</v>
      </c>
      <c r="I67" s="44">
        <v>355.88</v>
      </c>
      <c r="J67" s="44">
        <v>48.04</v>
      </c>
      <c r="K67" s="39" t="s">
        <v>68</v>
      </c>
      <c r="L67" s="44">
        <v>43.235999999999997</v>
      </c>
      <c r="M67" s="44">
        <v>0.86471999999999993</v>
      </c>
      <c r="N67" s="44">
        <v>42.371279999999999</v>
      </c>
    </row>
    <row r="68" spans="1:14" x14ac:dyDescent="0.3">
      <c r="A68" s="39" t="s">
        <v>53</v>
      </c>
      <c r="B68" s="39" t="s">
        <v>63</v>
      </c>
      <c r="C68" s="39" t="s">
        <v>244</v>
      </c>
      <c r="D68" s="39" t="s">
        <v>245</v>
      </c>
      <c r="E68" s="39" t="s">
        <v>55</v>
      </c>
      <c r="F68" s="39" t="s">
        <v>47</v>
      </c>
      <c r="G68" s="39" t="s">
        <v>66</v>
      </c>
      <c r="H68" s="39" t="s">
        <v>52</v>
      </c>
      <c r="I68" s="44">
        <v>331.5</v>
      </c>
      <c r="J68" s="44">
        <v>44.75</v>
      </c>
      <c r="K68" s="39" t="s">
        <v>68</v>
      </c>
      <c r="L68" s="44">
        <v>40.274999999999999</v>
      </c>
      <c r="M68" s="44">
        <v>0.80549999999999999</v>
      </c>
      <c r="N68" s="44">
        <v>39.469499999999996</v>
      </c>
    </row>
    <row r="69" spans="1:14" x14ac:dyDescent="0.3">
      <c r="A69" s="39" t="s">
        <v>53</v>
      </c>
      <c r="B69" s="39" t="s">
        <v>63</v>
      </c>
      <c r="C69" s="39" t="s">
        <v>246</v>
      </c>
      <c r="D69" s="39" t="s">
        <v>247</v>
      </c>
      <c r="E69" s="39" t="s">
        <v>55</v>
      </c>
      <c r="F69" s="39" t="s">
        <v>50</v>
      </c>
      <c r="G69" s="39" t="s">
        <v>66</v>
      </c>
      <c r="H69" s="39" t="s">
        <v>52</v>
      </c>
      <c r="I69" s="44">
        <v>392.26</v>
      </c>
      <c r="J69" s="44">
        <v>52.95</v>
      </c>
      <c r="K69" s="39" t="s">
        <v>68</v>
      </c>
      <c r="L69" s="44">
        <v>47.655000000000001</v>
      </c>
      <c r="M69" s="44">
        <v>0.95310000000000006</v>
      </c>
      <c r="N69" s="44">
        <v>46.701900000000002</v>
      </c>
    </row>
    <row r="70" spans="1:14" x14ac:dyDescent="0.3">
      <c r="A70" s="39" t="s">
        <v>53</v>
      </c>
      <c r="B70" s="39" t="s">
        <v>63</v>
      </c>
      <c r="C70" s="39" t="s">
        <v>81</v>
      </c>
      <c r="D70" s="39" t="s">
        <v>82</v>
      </c>
      <c r="E70" s="39" t="s">
        <v>55</v>
      </c>
      <c r="F70" s="39" t="s">
        <v>45</v>
      </c>
      <c r="G70" s="39" t="s">
        <v>66</v>
      </c>
      <c r="H70" s="39" t="s">
        <v>52</v>
      </c>
      <c r="I70" s="44">
        <v>6.6</v>
      </c>
      <c r="J70" s="44">
        <v>1.32</v>
      </c>
      <c r="K70" s="39" t="s">
        <v>68</v>
      </c>
      <c r="L70" s="44">
        <v>1.1880000000000002</v>
      </c>
      <c r="M70" s="44">
        <v>2.3760000000000003E-2</v>
      </c>
      <c r="N70" s="44">
        <v>1.1642400000000002</v>
      </c>
    </row>
    <row r="71" spans="1:14" x14ac:dyDescent="0.3">
      <c r="A71" s="39" t="s">
        <v>53</v>
      </c>
      <c r="B71" s="39" t="s">
        <v>63</v>
      </c>
      <c r="C71" s="39" t="s">
        <v>81</v>
      </c>
      <c r="D71" s="39" t="s">
        <v>82</v>
      </c>
      <c r="E71" s="39" t="s">
        <v>55</v>
      </c>
      <c r="F71" s="39" t="s">
        <v>45</v>
      </c>
      <c r="G71" s="39" t="s">
        <v>66</v>
      </c>
      <c r="H71" s="39" t="s">
        <v>52</v>
      </c>
      <c r="I71" s="44">
        <v>143.5</v>
      </c>
      <c r="J71" s="44">
        <v>28.7</v>
      </c>
      <c r="K71" s="39" t="s">
        <v>68</v>
      </c>
      <c r="L71" s="44">
        <v>25.83</v>
      </c>
      <c r="M71" s="44">
        <v>0.51659999999999995</v>
      </c>
      <c r="N71" s="44">
        <v>25.313399999999998</v>
      </c>
    </row>
    <row r="72" spans="1:14" x14ac:dyDescent="0.3">
      <c r="A72" s="39" t="s">
        <v>53</v>
      </c>
      <c r="B72" s="39" t="s">
        <v>63</v>
      </c>
      <c r="C72" s="39" t="s">
        <v>83</v>
      </c>
      <c r="D72" s="39" t="s">
        <v>82</v>
      </c>
      <c r="E72" s="39" t="s">
        <v>55</v>
      </c>
      <c r="F72" s="39" t="s">
        <v>45</v>
      </c>
      <c r="G72" s="39" t="s">
        <v>66</v>
      </c>
      <c r="H72" s="39" t="s">
        <v>52</v>
      </c>
      <c r="I72" s="44">
        <v>368.04</v>
      </c>
      <c r="J72" s="44">
        <v>36.799999999999997</v>
      </c>
      <c r="K72" s="39" t="s">
        <v>68</v>
      </c>
      <c r="L72" s="44">
        <v>33.119999999999997</v>
      </c>
      <c r="M72" s="44">
        <v>0.66239999999999999</v>
      </c>
      <c r="N72" s="44">
        <v>32.457599999999999</v>
      </c>
    </row>
    <row r="73" spans="1:14" x14ac:dyDescent="0.3">
      <c r="A73" s="39" t="s">
        <v>53</v>
      </c>
      <c r="B73" s="39" t="s">
        <v>63</v>
      </c>
      <c r="C73" s="39" t="s">
        <v>83</v>
      </c>
      <c r="D73" s="39" t="s">
        <v>82</v>
      </c>
      <c r="E73" s="39" t="s">
        <v>55</v>
      </c>
      <c r="F73" s="39" t="s">
        <v>45</v>
      </c>
      <c r="G73" s="39" t="s">
        <v>66</v>
      </c>
      <c r="H73" s="39" t="s">
        <v>52</v>
      </c>
      <c r="I73" s="44">
        <v>146.58000000000001</v>
      </c>
      <c r="J73" s="44">
        <v>14.66</v>
      </c>
      <c r="K73" s="39" t="s">
        <v>68</v>
      </c>
      <c r="L73" s="44">
        <v>13.194000000000001</v>
      </c>
      <c r="M73" s="44">
        <v>0.26388</v>
      </c>
      <c r="N73" s="44">
        <v>12.930120000000001</v>
      </c>
    </row>
    <row r="74" spans="1:14" x14ac:dyDescent="0.3">
      <c r="A74" s="39" t="s">
        <v>53</v>
      </c>
      <c r="B74" s="39" t="s">
        <v>63</v>
      </c>
      <c r="C74" s="39" t="s">
        <v>83</v>
      </c>
      <c r="D74" s="39" t="s">
        <v>82</v>
      </c>
      <c r="E74" s="39" t="s">
        <v>55</v>
      </c>
      <c r="F74" s="39" t="s">
        <v>45</v>
      </c>
      <c r="G74" s="39" t="s">
        <v>66</v>
      </c>
      <c r="H74" s="39" t="s">
        <v>52</v>
      </c>
      <c r="I74" s="44">
        <v>4013.19</v>
      </c>
      <c r="J74" s="44">
        <v>401.32</v>
      </c>
      <c r="K74" s="39" t="s">
        <v>68</v>
      </c>
      <c r="L74" s="44">
        <v>361.18799999999999</v>
      </c>
      <c r="M74" s="44">
        <v>7.2237599999999995</v>
      </c>
      <c r="N74" s="44">
        <v>353.96423999999996</v>
      </c>
    </row>
    <row r="75" spans="1:14" x14ac:dyDescent="0.3">
      <c r="A75" s="39" t="s">
        <v>53</v>
      </c>
      <c r="B75" s="39" t="s">
        <v>63</v>
      </c>
      <c r="C75" s="39" t="s">
        <v>248</v>
      </c>
      <c r="D75" s="39" t="s">
        <v>249</v>
      </c>
      <c r="E75" s="39" t="s">
        <v>55</v>
      </c>
      <c r="F75" s="39" t="s">
        <v>45</v>
      </c>
      <c r="G75" s="39" t="s">
        <v>66</v>
      </c>
      <c r="H75" s="39" t="s">
        <v>52</v>
      </c>
      <c r="I75" s="44">
        <v>247.1</v>
      </c>
      <c r="J75" s="44">
        <v>33.35</v>
      </c>
      <c r="K75" s="39" t="s">
        <v>68</v>
      </c>
      <c r="L75" s="44">
        <v>30.015000000000001</v>
      </c>
      <c r="M75" s="44">
        <v>0.60030000000000006</v>
      </c>
      <c r="N75" s="44">
        <v>29.4147</v>
      </c>
    </row>
    <row r="76" spans="1:14" x14ac:dyDescent="0.3">
      <c r="A76" s="39" t="s">
        <v>53</v>
      </c>
      <c r="B76" s="39" t="s">
        <v>63</v>
      </c>
      <c r="C76" s="39" t="s">
        <v>250</v>
      </c>
      <c r="D76" s="39" t="s">
        <v>251</v>
      </c>
      <c r="E76" s="39" t="s">
        <v>55</v>
      </c>
      <c r="F76" s="39" t="s">
        <v>45</v>
      </c>
      <c r="G76" s="39" t="s">
        <v>66</v>
      </c>
      <c r="H76" s="39" t="s">
        <v>52</v>
      </c>
      <c r="I76" s="44">
        <v>207.81</v>
      </c>
      <c r="J76" s="44">
        <v>28.06</v>
      </c>
      <c r="K76" s="39" t="s">
        <v>68</v>
      </c>
      <c r="L76" s="44">
        <v>25.253999999999998</v>
      </c>
      <c r="M76" s="44">
        <v>0.50507999999999997</v>
      </c>
      <c r="N76" s="44">
        <v>24.748919999999998</v>
      </c>
    </row>
    <row r="77" spans="1:14" x14ac:dyDescent="0.3">
      <c r="A77" s="39" t="s">
        <v>53</v>
      </c>
      <c r="B77" s="39" t="s">
        <v>63</v>
      </c>
      <c r="C77" s="39" t="s">
        <v>86</v>
      </c>
      <c r="D77" s="39" t="s">
        <v>85</v>
      </c>
      <c r="E77" s="39" t="s">
        <v>55</v>
      </c>
      <c r="F77" s="39" t="s">
        <v>50</v>
      </c>
      <c r="G77" s="39" t="s">
        <v>66</v>
      </c>
      <c r="H77" s="39" t="s">
        <v>52</v>
      </c>
      <c r="I77" s="44">
        <v>3330.48</v>
      </c>
      <c r="J77" s="44">
        <v>333.05</v>
      </c>
      <c r="K77" s="39" t="s">
        <v>68</v>
      </c>
      <c r="L77" s="44">
        <v>299.745</v>
      </c>
      <c r="M77" s="44">
        <v>5.9949000000000003</v>
      </c>
      <c r="N77" s="44">
        <v>293.75010000000003</v>
      </c>
    </row>
    <row r="78" spans="1:14" x14ac:dyDescent="0.3">
      <c r="A78" s="39" t="s">
        <v>53</v>
      </c>
      <c r="B78" s="39" t="s">
        <v>63</v>
      </c>
      <c r="C78" s="39" t="s">
        <v>84</v>
      </c>
      <c r="D78" s="39" t="s">
        <v>85</v>
      </c>
      <c r="E78" s="39" t="s">
        <v>55</v>
      </c>
      <c r="F78" s="39" t="s">
        <v>50</v>
      </c>
      <c r="G78" s="39" t="s">
        <v>66</v>
      </c>
      <c r="H78" s="39" t="s">
        <v>52</v>
      </c>
      <c r="I78" s="44">
        <v>303.75</v>
      </c>
      <c r="J78" s="44">
        <v>60.75</v>
      </c>
      <c r="K78" s="39" t="s">
        <v>68</v>
      </c>
      <c r="L78" s="44">
        <v>54.675000000000004</v>
      </c>
      <c r="M78" s="44">
        <v>1.0935000000000001</v>
      </c>
      <c r="N78" s="44">
        <v>53.581500000000005</v>
      </c>
    </row>
    <row r="79" spans="1:14" x14ac:dyDescent="0.3">
      <c r="A79" s="39" t="s">
        <v>53</v>
      </c>
      <c r="B79" s="39" t="s">
        <v>63</v>
      </c>
      <c r="C79" s="39" t="s">
        <v>252</v>
      </c>
      <c r="D79" s="39" t="s">
        <v>253</v>
      </c>
      <c r="E79" s="39" t="s">
        <v>55</v>
      </c>
      <c r="F79" s="39" t="s">
        <v>45</v>
      </c>
      <c r="G79" s="39" t="s">
        <v>66</v>
      </c>
      <c r="H79" s="39" t="s">
        <v>52</v>
      </c>
      <c r="I79" s="44">
        <v>212.91</v>
      </c>
      <c r="J79" s="44">
        <v>38.33</v>
      </c>
      <c r="K79" s="39" t="s">
        <v>68</v>
      </c>
      <c r="L79" s="44">
        <v>34.497</v>
      </c>
      <c r="M79" s="44">
        <v>0.68994</v>
      </c>
      <c r="N79" s="44">
        <v>33.80706</v>
      </c>
    </row>
    <row r="80" spans="1:14" x14ac:dyDescent="0.3">
      <c r="A80" s="39" t="s">
        <v>53</v>
      </c>
      <c r="B80" s="39" t="s">
        <v>63</v>
      </c>
      <c r="C80" s="39" t="s">
        <v>254</v>
      </c>
      <c r="D80" s="39" t="s">
        <v>255</v>
      </c>
      <c r="E80" s="39" t="s">
        <v>54</v>
      </c>
      <c r="F80" s="39" t="s">
        <v>45</v>
      </c>
      <c r="G80" s="39" t="s">
        <v>66</v>
      </c>
      <c r="H80" s="39" t="s">
        <v>52</v>
      </c>
      <c r="I80" s="44">
        <v>234.45</v>
      </c>
      <c r="J80" s="44">
        <v>68.94</v>
      </c>
      <c r="K80" s="39" t="s">
        <v>68</v>
      </c>
      <c r="L80" s="44">
        <v>62.045999999999999</v>
      </c>
      <c r="M80" s="44">
        <v>1.24092</v>
      </c>
      <c r="N80" s="44">
        <v>60.805079999999997</v>
      </c>
    </row>
    <row r="81" spans="1:14" x14ac:dyDescent="0.3">
      <c r="A81" s="39" t="s">
        <v>53</v>
      </c>
      <c r="B81" s="39" t="s">
        <v>63</v>
      </c>
      <c r="C81" s="39" t="s">
        <v>256</v>
      </c>
      <c r="D81" s="39" t="s">
        <v>257</v>
      </c>
      <c r="E81" s="39" t="s">
        <v>54</v>
      </c>
      <c r="F81" s="39" t="s">
        <v>45</v>
      </c>
      <c r="G81" s="39" t="s">
        <v>66</v>
      </c>
      <c r="H81" s="39" t="s">
        <v>52</v>
      </c>
      <c r="I81" s="44">
        <v>502.83</v>
      </c>
      <c r="J81" s="44">
        <v>124.64</v>
      </c>
      <c r="K81" s="39" t="s">
        <v>68</v>
      </c>
      <c r="L81" s="44">
        <v>112.176</v>
      </c>
      <c r="M81" s="44">
        <v>2.2435200000000002</v>
      </c>
      <c r="N81" s="44">
        <v>109.93248</v>
      </c>
    </row>
    <row r="82" spans="1:14" x14ac:dyDescent="0.3">
      <c r="A82" s="39" t="s">
        <v>53</v>
      </c>
      <c r="B82" s="39" t="s">
        <v>63</v>
      </c>
      <c r="C82" s="39" t="s">
        <v>258</v>
      </c>
      <c r="D82" s="39" t="s">
        <v>259</v>
      </c>
      <c r="E82" s="39" t="s">
        <v>54</v>
      </c>
      <c r="F82" s="39" t="s">
        <v>45</v>
      </c>
      <c r="G82" s="39" t="s">
        <v>66</v>
      </c>
      <c r="H82" s="39" t="s">
        <v>52</v>
      </c>
      <c r="I82" s="44">
        <v>253.44</v>
      </c>
      <c r="J82" s="44">
        <v>62.29</v>
      </c>
      <c r="K82" s="39" t="s">
        <v>68</v>
      </c>
      <c r="L82" s="44">
        <v>56.061</v>
      </c>
      <c r="M82" s="44">
        <v>1.1212200000000001</v>
      </c>
      <c r="N82" s="44">
        <v>54.939779999999999</v>
      </c>
    </row>
    <row r="83" spans="1:14" x14ac:dyDescent="0.3">
      <c r="A83" s="39" t="s">
        <v>53</v>
      </c>
      <c r="B83" s="39" t="s">
        <v>63</v>
      </c>
      <c r="C83" s="39" t="s">
        <v>74</v>
      </c>
      <c r="D83" s="39" t="s">
        <v>75</v>
      </c>
      <c r="E83" s="39" t="s">
        <v>54</v>
      </c>
      <c r="F83" s="39" t="s">
        <v>45</v>
      </c>
      <c r="G83" s="39" t="s">
        <v>66</v>
      </c>
      <c r="H83" s="39" t="s">
        <v>52</v>
      </c>
      <c r="I83" s="44">
        <v>1368.72</v>
      </c>
      <c r="J83" s="44">
        <v>204.67</v>
      </c>
      <c r="K83" s="39" t="s">
        <v>68</v>
      </c>
      <c r="L83" s="44">
        <v>184.203</v>
      </c>
      <c r="M83" s="44">
        <v>3.6840600000000001</v>
      </c>
      <c r="N83" s="44">
        <v>180.51894000000001</v>
      </c>
    </row>
    <row r="84" spans="1:14" x14ac:dyDescent="0.3">
      <c r="A84" s="39" t="s">
        <v>53</v>
      </c>
      <c r="B84" s="39" t="s">
        <v>63</v>
      </c>
      <c r="C84" s="39" t="s">
        <v>260</v>
      </c>
      <c r="D84" s="39" t="s">
        <v>261</v>
      </c>
      <c r="E84" s="39" t="s">
        <v>54</v>
      </c>
      <c r="F84" s="39" t="s">
        <v>45</v>
      </c>
      <c r="G84" s="39" t="s">
        <v>66</v>
      </c>
      <c r="H84" s="39" t="s">
        <v>52</v>
      </c>
      <c r="I84" s="44">
        <v>1037.43</v>
      </c>
      <c r="J84" s="44">
        <v>258.29000000000002</v>
      </c>
      <c r="K84" s="39" t="s">
        <v>68</v>
      </c>
      <c r="L84" s="44">
        <v>232.46100000000001</v>
      </c>
      <c r="M84" s="44">
        <v>4.6492200000000006</v>
      </c>
      <c r="N84" s="44">
        <v>227.81178</v>
      </c>
    </row>
    <row r="85" spans="1:14" x14ac:dyDescent="0.3">
      <c r="A85" s="39" t="s">
        <v>53</v>
      </c>
      <c r="B85" s="39" t="s">
        <v>63</v>
      </c>
      <c r="C85" s="39" t="s">
        <v>262</v>
      </c>
      <c r="D85" s="39" t="s">
        <v>263</v>
      </c>
      <c r="E85" s="39" t="s">
        <v>54</v>
      </c>
      <c r="F85" s="39" t="s">
        <v>50</v>
      </c>
      <c r="G85" s="39" t="s">
        <v>66</v>
      </c>
      <c r="H85" s="39" t="s">
        <v>52</v>
      </c>
      <c r="I85" s="44">
        <v>627.57000000000005</v>
      </c>
      <c r="J85" s="44">
        <v>140.28</v>
      </c>
      <c r="K85" s="39" t="s">
        <v>68</v>
      </c>
      <c r="L85" s="44">
        <v>126.25200000000001</v>
      </c>
      <c r="M85" s="44">
        <v>2.5250400000000002</v>
      </c>
      <c r="N85" s="44">
        <v>123.72696000000001</v>
      </c>
    </row>
    <row r="86" spans="1:14" x14ac:dyDescent="0.3">
      <c r="A86" s="39" t="s">
        <v>53</v>
      </c>
      <c r="B86" s="39" t="s">
        <v>63</v>
      </c>
      <c r="C86" s="39" t="s">
        <v>264</v>
      </c>
      <c r="D86" s="39" t="s">
        <v>265</v>
      </c>
      <c r="E86" s="39" t="s">
        <v>54</v>
      </c>
      <c r="F86" s="39" t="s">
        <v>50</v>
      </c>
      <c r="G86" s="39" t="s">
        <v>66</v>
      </c>
      <c r="H86" s="39" t="s">
        <v>52</v>
      </c>
      <c r="I86" s="44">
        <v>224.37</v>
      </c>
      <c r="J86" s="44">
        <v>55.02</v>
      </c>
      <c r="K86" s="39" t="s">
        <v>68</v>
      </c>
      <c r="L86" s="44">
        <v>49.518000000000001</v>
      </c>
      <c r="M86" s="44">
        <v>0.99036000000000002</v>
      </c>
      <c r="N86" s="44">
        <v>48.527639999999998</v>
      </c>
    </row>
    <row r="87" spans="1:14" x14ac:dyDescent="0.3">
      <c r="A87" s="39" t="s">
        <v>53</v>
      </c>
      <c r="B87" s="39" t="s">
        <v>63</v>
      </c>
      <c r="C87" s="39" t="s">
        <v>266</v>
      </c>
      <c r="D87" s="39" t="s">
        <v>267</v>
      </c>
      <c r="E87" s="39" t="s">
        <v>54</v>
      </c>
      <c r="F87" s="39" t="s">
        <v>45</v>
      </c>
      <c r="G87" s="39" t="s">
        <v>66</v>
      </c>
      <c r="H87" s="39" t="s">
        <v>52</v>
      </c>
      <c r="I87" s="44">
        <v>597.41999999999996</v>
      </c>
      <c r="J87" s="44">
        <v>118.72</v>
      </c>
      <c r="K87" s="39" t="s">
        <v>68</v>
      </c>
      <c r="L87" s="44">
        <v>106.848</v>
      </c>
      <c r="M87" s="44">
        <v>2.1369600000000002</v>
      </c>
      <c r="N87" s="44">
        <v>104.71104</v>
      </c>
    </row>
    <row r="88" spans="1:14" x14ac:dyDescent="0.3">
      <c r="A88" s="39" t="s">
        <v>53</v>
      </c>
      <c r="B88" s="39" t="s">
        <v>63</v>
      </c>
      <c r="C88" s="39" t="s">
        <v>268</v>
      </c>
      <c r="D88" s="39" t="s">
        <v>269</v>
      </c>
      <c r="E88" s="39" t="s">
        <v>54</v>
      </c>
      <c r="F88" s="39" t="s">
        <v>45</v>
      </c>
      <c r="G88" s="39" t="s">
        <v>66</v>
      </c>
      <c r="H88" s="39" t="s">
        <v>52</v>
      </c>
      <c r="I88" s="44">
        <v>763.8</v>
      </c>
      <c r="J88" s="44">
        <v>22.92</v>
      </c>
      <c r="K88" s="39" t="s">
        <v>68</v>
      </c>
      <c r="L88" s="44">
        <v>20.628000000000004</v>
      </c>
      <c r="M88" s="44">
        <v>0.41256000000000009</v>
      </c>
      <c r="N88" s="44">
        <v>20.215440000000005</v>
      </c>
    </row>
    <row r="89" spans="1:14" x14ac:dyDescent="0.3">
      <c r="A89" s="39" t="s">
        <v>53</v>
      </c>
      <c r="B89" s="39" t="s">
        <v>63</v>
      </c>
      <c r="C89" s="39" t="s">
        <v>270</v>
      </c>
      <c r="D89" s="39" t="s">
        <v>271</v>
      </c>
      <c r="E89" s="39" t="s">
        <v>54</v>
      </c>
      <c r="F89" s="39" t="s">
        <v>45</v>
      </c>
      <c r="G89" s="39" t="s">
        <v>66</v>
      </c>
      <c r="H89" s="39" t="s">
        <v>52</v>
      </c>
      <c r="I89" s="44">
        <v>7405</v>
      </c>
      <c r="J89" s="44">
        <v>1839.35</v>
      </c>
      <c r="K89" s="39" t="s">
        <v>68</v>
      </c>
      <c r="L89" s="44">
        <v>1655.415</v>
      </c>
      <c r="M89" s="44">
        <v>33.1083</v>
      </c>
      <c r="N89" s="44">
        <v>1622.3066999999999</v>
      </c>
    </row>
    <row r="90" spans="1:14" x14ac:dyDescent="0.3">
      <c r="A90" s="39" t="s">
        <v>53</v>
      </c>
      <c r="B90" s="39" t="s">
        <v>63</v>
      </c>
      <c r="C90" s="39" t="s">
        <v>272</v>
      </c>
      <c r="D90" s="39" t="s">
        <v>273</v>
      </c>
      <c r="E90" s="39" t="s">
        <v>54</v>
      </c>
      <c r="F90" s="39" t="s">
        <v>45</v>
      </c>
      <c r="G90" s="39" t="s">
        <v>66</v>
      </c>
      <c r="H90" s="39" t="s">
        <v>52</v>
      </c>
      <c r="I90" s="44">
        <v>1627.73</v>
      </c>
      <c r="J90" s="44">
        <v>403.66</v>
      </c>
      <c r="K90" s="39" t="s">
        <v>68</v>
      </c>
      <c r="L90" s="44">
        <v>363.29400000000004</v>
      </c>
      <c r="M90" s="44">
        <v>7.265880000000001</v>
      </c>
      <c r="N90" s="44">
        <v>356.02812000000006</v>
      </c>
    </row>
    <row r="91" spans="1:14" x14ac:dyDescent="0.3">
      <c r="A91" s="39" t="s">
        <v>53</v>
      </c>
      <c r="B91" s="39" t="s">
        <v>63</v>
      </c>
      <c r="C91" s="39" t="s">
        <v>274</v>
      </c>
      <c r="D91" s="39" t="s">
        <v>80</v>
      </c>
      <c r="E91" s="39" t="s">
        <v>54</v>
      </c>
      <c r="F91" s="39" t="s">
        <v>45</v>
      </c>
      <c r="G91" s="39" t="s">
        <v>66</v>
      </c>
      <c r="H91" s="39" t="s">
        <v>52</v>
      </c>
      <c r="I91" s="44">
        <v>8212</v>
      </c>
      <c r="J91" s="44">
        <v>1837.56</v>
      </c>
      <c r="K91" s="39" t="s">
        <v>68</v>
      </c>
      <c r="L91" s="44">
        <v>1653.8040000000001</v>
      </c>
      <c r="M91" s="44">
        <v>33.076080000000005</v>
      </c>
      <c r="N91" s="44">
        <v>1620.72792</v>
      </c>
    </row>
    <row r="92" spans="1:14" x14ac:dyDescent="0.3">
      <c r="A92" s="39" t="s">
        <v>53</v>
      </c>
      <c r="B92" s="39" t="s">
        <v>63</v>
      </c>
      <c r="C92" s="39" t="s">
        <v>275</v>
      </c>
      <c r="D92" s="39" t="s">
        <v>276</v>
      </c>
      <c r="E92" s="39" t="s">
        <v>54</v>
      </c>
      <c r="F92" s="39" t="s">
        <v>45</v>
      </c>
      <c r="G92" s="39" t="s">
        <v>66</v>
      </c>
      <c r="H92" s="39" t="s">
        <v>52</v>
      </c>
      <c r="I92" s="44">
        <v>562.38</v>
      </c>
      <c r="J92" s="44">
        <v>137.32</v>
      </c>
      <c r="K92" s="39" t="s">
        <v>68</v>
      </c>
      <c r="L92" s="44">
        <v>123.58799999999999</v>
      </c>
      <c r="M92" s="44">
        <v>2.4717599999999997</v>
      </c>
      <c r="N92" s="44">
        <v>121.11623999999999</v>
      </c>
    </row>
    <row r="93" spans="1:14" x14ac:dyDescent="0.3">
      <c r="A93" s="39" t="s">
        <v>53</v>
      </c>
      <c r="B93" s="39" t="s">
        <v>63</v>
      </c>
      <c r="C93" s="39" t="s">
        <v>277</v>
      </c>
      <c r="D93" s="39" t="s">
        <v>278</v>
      </c>
      <c r="E93" s="39" t="s">
        <v>54</v>
      </c>
      <c r="F93" s="39" t="s">
        <v>45</v>
      </c>
      <c r="G93" s="39" t="s">
        <v>66</v>
      </c>
      <c r="H93" s="39" t="s">
        <v>52</v>
      </c>
      <c r="I93" s="44">
        <v>0</v>
      </c>
      <c r="J93" s="44">
        <v>416.89</v>
      </c>
      <c r="K93" s="39" t="s">
        <v>68</v>
      </c>
      <c r="L93" s="44">
        <v>375.20100000000002</v>
      </c>
      <c r="M93" s="44">
        <v>7.5040200000000006</v>
      </c>
      <c r="N93" s="44">
        <v>367.69698</v>
      </c>
    </row>
    <row r="94" spans="1:14" x14ac:dyDescent="0.3">
      <c r="A94" s="39" t="s">
        <v>53</v>
      </c>
      <c r="B94" s="39" t="s">
        <v>63</v>
      </c>
      <c r="C94" s="39" t="s">
        <v>87</v>
      </c>
      <c r="D94" s="39" t="s">
        <v>88</v>
      </c>
      <c r="E94" s="39" t="s">
        <v>54</v>
      </c>
      <c r="F94" s="39" t="s">
        <v>45</v>
      </c>
      <c r="G94" s="39" t="s">
        <v>66</v>
      </c>
      <c r="H94" s="39" t="s">
        <v>52</v>
      </c>
      <c r="I94" s="44">
        <v>717.57</v>
      </c>
      <c r="J94" s="44">
        <v>178.32</v>
      </c>
      <c r="K94" s="39" t="s">
        <v>68</v>
      </c>
      <c r="L94" s="44">
        <v>160.488</v>
      </c>
      <c r="M94" s="44">
        <v>3.2097600000000002</v>
      </c>
      <c r="N94" s="44">
        <v>157.27824000000001</v>
      </c>
    </row>
    <row r="95" spans="1:14" x14ac:dyDescent="0.3">
      <c r="A95" s="39" t="s">
        <v>53</v>
      </c>
      <c r="B95" s="39" t="s">
        <v>63</v>
      </c>
      <c r="C95" s="39" t="s">
        <v>89</v>
      </c>
      <c r="D95" s="39" t="s">
        <v>90</v>
      </c>
      <c r="E95" s="39" t="s">
        <v>54</v>
      </c>
      <c r="F95" s="39" t="s">
        <v>50</v>
      </c>
      <c r="G95" s="39" t="s">
        <v>66</v>
      </c>
      <c r="H95" s="39" t="s">
        <v>52</v>
      </c>
      <c r="I95" s="44">
        <v>490.48</v>
      </c>
      <c r="J95" s="44">
        <v>109.43</v>
      </c>
      <c r="K95" s="39" t="s">
        <v>68</v>
      </c>
      <c r="L95" s="44">
        <v>98.487000000000009</v>
      </c>
      <c r="M95" s="44">
        <v>1.9697400000000003</v>
      </c>
      <c r="N95" s="44">
        <v>96.517260000000007</v>
      </c>
    </row>
    <row r="96" spans="1:14" x14ac:dyDescent="0.3">
      <c r="A96" s="39" t="s">
        <v>53</v>
      </c>
      <c r="B96" s="39" t="s">
        <v>63</v>
      </c>
      <c r="C96" s="39" t="s">
        <v>76</v>
      </c>
      <c r="D96" s="39" t="s">
        <v>77</v>
      </c>
      <c r="E96" s="39" t="s">
        <v>54</v>
      </c>
      <c r="F96" s="39" t="s">
        <v>50</v>
      </c>
      <c r="G96" s="39" t="s">
        <v>66</v>
      </c>
      <c r="H96" s="39" t="s">
        <v>52</v>
      </c>
      <c r="I96" s="44">
        <v>296.01</v>
      </c>
      <c r="J96" s="44">
        <v>65.680000000000007</v>
      </c>
      <c r="K96" s="39" t="s">
        <v>68</v>
      </c>
      <c r="L96" s="44">
        <v>59.112000000000009</v>
      </c>
      <c r="M96" s="44">
        <v>1.1822400000000002</v>
      </c>
      <c r="N96" s="44">
        <v>57.929760000000009</v>
      </c>
    </row>
    <row r="97" spans="1:14" x14ac:dyDescent="0.3">
      <c r="A97" s="39" t="s">
        <v>53</v>
      </c>
      <c r="B97" s="39" t="s">
        <v>63</v>
      </c>
      <c r="C97" s="39" t="s">
        <v>91</v>
      </c>
      <c r="D97" s="39" t="s">
        <v>92</v>
      </c>
      <c r="E97" s="39" t="s">
        <v>54</v>
      </c>
      <c r="F97" s="39" t="s">
        <v>50</v>
      </c>
      <c r="G97" s="39" t="s">
        <v>66</v>
      </c>
      <c r="H97" s="39" t="s">
        <v>52</v>
      </c>
      <c r="I97" s="44">
        <v>587.25</v>
      </c>
      <c r="J97" s="44">
        <v>131.21</v>
      </c>
      <c r="K97" s="39" t="s">
        <v>68</v>
      </c>
      <c r="L97" s="44">
        <v>118.08900000000001</v>
      </c>
      <c r="M97" s="44">
        <v>2.3617800000000004</v>
      </c>
      <c r="N97" s="44">
        <v>115.72722000000002</v>
      </c>
    </row>
    <row r="98" spans="1:14" x14ac:dyDescent="0.3">
      <c r="A98" s="39" t="s">
        <v>44</v>
      </c>
      <c r="B98" s="39" t="s">
        <v>62</v>
      </c>
      <c r="C98" s="39" t="s">
        <v>93</v>
      </c>
      <c r="D98" s="39" t="s">
        <v>94</v>
      </c>
      <c r="E98" s="39" t="s">
        <v>8</v>
      </c>
      <c r="F98" s="39" t="s">
        <v>51</v>
      </c>
      <c r="G98" s="39" t="s">
        <v>65</v>
      </c>
      <c r="H98" s="39" t="s">
        <v>52</v>
      </c>
      <c r="I98" s="44">
        <v>335.34</v>
      </c>
      <c r="J98" s="44">
        <v>60.35</v>
      </c>
      <c r="K98" s="39" t="s">
        <v>68</v>
      </c>
      <c r="L98" s="44">
        <v>54.315000000000005</v>
      </c>
      <c r="M98" s="44">
        <v>1.0863</v>
      </c>
      <c r="N98" s="44">
        <v>53.228700000000003</v>
      </c>
    </row>
    <row r="99" spans="1:14" x14ac:dyDescent="0.3">
      <c r="A99" s="39" t="s">
        <v>44</v>
      </c>
      <c r="B99" s="39" t="s">
        <v>62</v>
      </c>
      <c r="C99" s="39" t="s">
        <v>93</v>
      </c>
      <c r="D99" s="39" t="s">
        <v>94</v>
      </c>
      <c r="E99" s="39" t="s">
        <v>8</v>
      </c>
      <c r="F99" s="39" t="s">
        <v>51</v>
      </c>
      <c r="G99" s="39" t="s">
        <v>65</v>
      </c>
      <c r="H99" s="39" t="s">
        <v>52</v>
      </c>
      <c r="I99" s="44">
        <v>1356.34</v>
      </c>
      <c r="J99" s="44">
        <v>244.14</v>
      </c>
      <c r="K99" s="39" t="s">
        <v>68</v>
      </c>
      <c r="L99" s="44">
        <v>219.726</v>
      </c>
      <c r="M99" s="44">
        <v>4.39452</v>
      </c>
      <c r="N99" s="44">
        <v>215.33148</v>
      </c>
    </row>
    <row r="100" spans="1:14" x14ac:dyDescent="0.3">
      <c r="A100" s="39" t="s">
        <v>44</v>
      </c>
      <c r="B100" s="39" t="s">
        <v>62</v>
      </c>
      <c r="C100" s="39" t="s">
        <v>93</v>
      </c>
      <c r="D100" s="39" t="s">
        <v>94</v>
      </c>
      <c r="E100" s="39" t="s">
        <v>8</v>
      </c>
      <c r="F100" s="39" t="s">
        <v>51</v>
      </c>
      <c r="G100" s="39" t="s">
        <v>65</v>
      </c>
      <c r="H100" s="39" t="s">
        <v>52</v>
      </c>
      <c r="I100" s="44">
        <v>111.9</v>
      </c>
      <c r="J100" s="44">
        <v>20.149999999999999</v>
      </c>
      <c r="K100" s="39" t="s">
        <v>68</v>
      </c>
      <c r="L100" s="44">
        <v>18.134999999999998</v>
      </c>
      <c r="M100" s="44">
        <v>0.36269999999999997</v>
      </c>
      <c r="N100" s="44">
        <v>17.772299999999998</v>
      </c>
    </row>
    <row r="101" spans="1:14" x14ac:dyDescent="0.3">
      <c r="A101" s="39" t="s">
        <v>44</v>
      </c>
      <c r="B101" s="39" t="s">
        <v>62</v>
      </c>
      <c r="C101" s="39" t="s">
        <v>279</v>
      </c>
      <c r="D101" s="39" t="s">
        <v>72</v>
      </c>
      <c r="E101" s="39" t="s">
        <v>8</v>
      </c>
      <c r="F101" s="39" t="s">
        <v>51</v>
      </c>
      <c r="G101" s="39" t="s">
        <v>65</v>
      </c>
      <c r="H101" s="39" t="s">
        <v>52</v>
      </c>
      <c r="I101" s="44">
        <v>62.06</v>
      </c>
      <c r="J101" s="44">
        <v>13.03</v>
      </c>
      <c r="K101" s="39" t="s">
        <v>68</v>
      </c>
      <c r="L101" s="44">
        <v>11.727</v>
      </c>
      <c r="M101" s="44">
        <v>0.23454</v>
      </c>
      <c r="N101" s="44">
        <v>11.492459999999999</v>
      </c>
    </row>
    <row r="102" spans="1:14" x14ac:dyDescent="0.3">
      <c r="A102" s="39" t="s">
        <v>44</v>
      </c>
      <c r="B102" s="39" t="s">
        <v>62</v>
      </c>
      <c r="C102" s="39" t="s">
        <v>279</v>
      </c>
      <c r="D102" s="39" t="s">
        <v>72</v>
      </c>
      <c r="E102" s="39" t="s">
        <v>8</v>
      </c>
      <c r="F102" s="39" t="s">
        <v>51</v>
      </c>
      <c r="G102" s="39" t="s">
        <v>65</v>
      </c>
      <c r="H102" s="39" t="s">
        <v>52</v>
      </c>
      <c r="I102" s="44">
        <v>97.48</v>
      </c>
      <c r="J102" s="44">
        <v>20.47</v>
      </c>
      <c r="K102" s="39" t="s">
        <v>68</v>
      </c>
      <c r="L102" s="44">
        <v>18.422999999999998</v>
      </c>
      <c r="M102" s="44">
        <v>0.36845999999999995</v>
      </c>
      <c r="N102" s="44">
        <v>18.054539999999999</v>
      </c>
    </row>
    <row r="103" spans="1:14" x14ac:dyDescent="0.3">
      <c r="A103" s="39" t="s">
        <v>44</v>
      </c>
      <c r="B103" s="39" t="s">
        <v>62</v>
      </c>
      <c r="C103" s="39" t="s">
        <v>280</v>
      </c>
      <c r="D103" s="39" t="s">
        <v>281</v>
      </c>
      <c r="E103" s="39" t="s">
        <v>8</v>
      </c>
      <c r="F103" s="39" t="s">
        <v>45</v>
      </c>
      <c r="G103" s="39" t="s">
        <v>65</v>
      </c>
      <c r="H103" s="39" t="s">
        <v>52</v>
      </c>
      <c r="I103" s="44">
        <v>139.19999999999999</v>
      </c>
      <c r="J103" s="44">
        <v>20.84</v>
      </c>
      <c r="K103" s="39" t="s">
        <v>68</v>
      </c>
      <c r="L103" s="44">
        <v>18.756</v>
      </c>
      <c r="M103" s="44">
        <v>0.37512000000000001</v>
      </c>
      <c r="N103" s="44">
        <v>18.380880000000001</v>
      </c>
    </row>
    <row r="104" spans="1:14" x14ac:dyDescent="0.3">
      <c r="A104" s="39" t="s">
        <v>44</v>
      </c>
      <c r="B104" s="39" t="s">
        <v>62</v>
      </c>
      <c r="C104" s="39" t="s">
        <v>93</v>
      </c>
      <c r="D104" s="39" t="s">
        <v>94</v>
      </c>
      <c r="E104" s="39" t="s">
        <v>8</v>
      </c>
      <c r="F104" s="39" t="s">
        <v>51</v>
      </c>
      <c r="G104" s="39" t="s">
        <v>65</v>
      </c>
      <c r="H104" s="39" t="s">
        <v>52</v>
      </c>
      <c r="I104" s="44">
        <v>-13.14</v>
      </c>
      <c r="J104" s="44">
        <v>-2.36</v>
      </c>
      <c r="K104" s="39" t="s">
        <v>68</v>
      </c>
      <c r="L104" s="44">
        <v>-2.1240000000000001</v>
      </c>
      <c r="M104" s="44">
        <v>-4.2480000000000004E-2</v>
      </c>
      <c r="N104" s="44">
        <v>-2.0815200000000003</v>
      </c>
    </row>
    <row r="105" spans="1:14" x14ac:dyDescent="0.3">
      <c r="A105" s="39" t="s">
        <v>44</v>
      </c>
      <c r="B105" s="39" t="s">
        <v>62</v>
      </c>
      <c r="C105" s="39" t="s">
        <v>93</v>
      </c>
      <c r="D105" s="39" t="s">
        <v>94</v>
      </c>
      <c r="E105" s="39" t="s">
        <v>8</v>
      </c>
      <c r="F105" s="39" t="s">
        <v>51</v>
      </c>
      <c r="G105" s="39" t="s">
        <v>65</v>
      </c>
      <c r="H105" s="39" t="s">
        <v>52</v>
      </c>
      <c r="I105" s="44">
        <v>-1.74</v>
      </c>
      <c r="J105" s="44">
        <v>-0.32</v>
      </c>
      <c r="K105" s="39" t="s">
        <v>68</v>
      </c>
      <c r="L105" s="44">
        <v>-0.28800000000000003</v>
      </c>
      <c r="M105" s="44">
        <v>-5.7600000000000004E-3</v>
      </c>
      <c r="N105" s="44">
        <v>-0.28224000000000005</v>
      </c>
    </row>
    <row r="106" spans="1:14" x14ac:dyDescent="0.3">
      <c r="A106" s="39" t="s">
        <v>44</v>
      </c>
      <c r="B106" s="39" t="s">
        <v>62</v>
      </c>
      <c r="C106" s="39" t="s">
        <v>93</v>
      </c>
      <c r="D106" s="39" t="s">
        <v>94</v>
      </c>
      <c r="E106" s="39" t="s">
        <v>8</v>
      </c>
      <c r="F106" s="39" t="s">
        <v>51</v>
      </c>
      <c r="G106" s="39" t="s">
        <v>65</v>
      </c>
      <c r="H106" s="39" t="s">
        <v>52</v>
      </c>
      <c r="I106" s="44">
        <v>-61.64</v>
      </c>
      <c r="J106" s="44">
        <v>-11.09</v>
      </c>
      <c r="K106" s="39" t="s">
        <v>68</v>
      </c>
      <c r="L106" s="44">
        <v>-9.9809999999999999</v>
      </c>
      <c r="M106" s="44">
        <v>-0.19961999999999999</v>
      </c>
      <c r="N106" s="44">
        <v>-9.7813800000000004</v>
      </c>
    </row>
    <row r="107" spans="1:14" x14ac:dyDescent="0.3">
      <c r="A107" s="39" t="s">
        <v>53</v>
      </c>
      <c r="B107" s="39" t="s">
        <v>63</v>
      </c>
      <c r="C107" s="39" t="s">
        <v>282</v>
      </c>
      <c r="D107" s="39" t="s">
        <v>283</v>
      </c>
      <c r="E107" s="39" t="s">
        <v>8</v>
      </c>
      <c r="F107" s="39" t="s">
        <v>51</v>
      </c>
      <c r="G107" s="39" t="s">
        <v>66</v>
      </c>
      <c r="H107" s="39" t="s">
        <v>52</v>
      </c>
      <c r="I107" s="44">
        <v>2517.64</v>
      </c>
      <c r="J107" s="44">
        <v>402.82</v>
      </c>
      <c r="K107" s="39" t="s">
        <v>68</v>
      </c>
      <c r="L107" s="44">
        <v>362.53800000000001</v>
      </c>
      <c r="M107" s="44">
        <v>7.2507600000000005</v>
      </c>
      <c r="N107" s="44">
        <v>355.28724</v>
      </c>
    </row>
    <row r="108" spans="1:14" x14ac:dyDescent="0.3">
      <c r="A108" s="39" t="s">
        <v>53</v>
      </c>
      <c r="B108" s="39" t="s">
        <v>63</v>
      </c>
      <c r="C108" s="39" t="s">
        <v>284</v>
      </c>
      <c r="D108" s="39" t="s">
        <v>285</v>
      </c>
      <c r="E108" s="39" t="s">
        <v>8</v>
      </c>
      <c r="F108" s="39" t="s">
        <v>51</v>
      </c>
      <c r="G108" s="39" t="s">
        <v>66</v>
      </c>
      <c r="H108" s="39" t="s">
        <v>52</v>
      </c>
      <c r="I108" s="44">
        <v>868.37</v>
      </c>
      <c r="J108" s="44">
        <v>138.94</v>
      </c>
      <c r="K108" s="39" t="s">
        <v>68</v>
      </c>
      <c r="L108" s="44">
        <v>125.04600000000001</v>
      </c>
      <c r="M108" s="44">
        <v>2.5009200000000003</v>
      </c>
      <c r="N108" s="44">
        <v>122.54508000000001</v>
      </c>
    </row>
    <row r="109" spans="1:14" x14ac:dyDescent="0.3">
      <c r="A109" s="39" t="s">
        <v>53</v>
      </c>
      <c r="B109" s="39" t="s">
        <v>63</v>
      </c>
      <c r="C109" s="39" t="s">
        <v>286</v>
      </c>
      <c r="D109" s="39" t="s">
        <v>287</v>
      </c>
      <c r="E109" s="39" t="s">
        <v>8</v>
      </c>
      <c r="F109" s="39" t="s">
        <v>45</v>
      </c>
      <c r="G109" s="39" t="s">
        <v>66</v>
      </c>
      <c r="H109" s="39" t="s">
        <v>52</v>
      </c>
      <c r="I109" s="44">
        <v>2843.65</v>
      </c>
      <c r="J109" s="44">
        <v>454.97</v>
      </c>
      <c r="K109" s="39" t="s">
        <v>68</v>
      </c>
      <c r="L109" s="44">
        <v>409.47300000000001</v>
      </c>
      <c r="M109" s="44">
        <v>8.1894600000000004</v>
      </c>
      <c r="N109" s="44">
        <v>401.28354000000002</v>
      </c>
    </row>
    <row r="110" spans="1:14" x14ac:dyDescent="0.3">
      <c r="A110" s="39" t="s">
        <v>53</v>
      </c>
      <c r="B110" s="39" t="s">
        <v>63</v>
      </c>
      <c r="C110" s="39" t="s">
        <v>288</v>
      </c>
      <c r="D110" s="39" t="s">
        <v>289</v>
      </c>
      <c r="E110" s="39" t="s">
        <v>8</v>
      </c>
      <c r="F110" s="39" t="s">
        <v>45</v>
      </c>
      <c r="G110" s="39" t="s">
        <v>66</v>
      </c>
      <c r="H110" s="39" t="s">
        <v>52</v>
      </c>
      <c r="I110" s="44">
        <v>1652.7</v>
      </c>
      <c r="J110" s="44">
        <v>264.43</v>
      </c>
      <c r="K110" s="39" t="s">
        <v>68</v>
      </c>
      <c r="L110" s="44">
        <v>237.98700000000002</v>
      </c>
      <c r="M110" s="44">
        <v>4.7597400000000007</v>
      </c>
      <c r="N110" s="44">
        <v>233.22726000000003</v>
      </c>
    </row>
    <row r="111" spans="1:14" x14ac:dyDescent="0.3">
      <c r="A111" s="39" t="s">
        <v>53</v>
      </c>
      <c r="B111" s="39" t="s">
        <v>63</v>
      </c>
      <c r="C111" s="39" t="s">
        <v>290</v>
      </c>
      <c r="D111" s="39" t="s">
        <v>291</v>
      </c>
      <c r="E111" s="39" t="s">
        <v>8</v>
      </c>
      <c r="F111" s="39" t="s">
        <v>51</v>
      </c>
      <c r="G111" s="39" t="s">
        <v>66</v>
      </c>
      <c r="H111" s="39" t="s">
        <v>52</v>
      </c>
      <c r="I111" s="44">
        <v>340.76</v>
      </c>
      <c r="J111" s="44">
        <v>54.52</v>
      </c>
      <c r="K111" s="39" t="s">
        <v>68</v>
      </c>
      <c r="L111" s="44">
        <v>49.068000000000005</v>
      </c>
      <c r="M111" s="44">
        <v>0.98136000000000012</v>
      </c>
      <c r="N111" s="44">
        <v>48.086640000000003</v>
      </c>
    </row>
    <row r="112" spans="1:14" x14ac:dyDescent="0.3">
      <c r="A112" s="39" t="s">
        <v>53</v>
      </c>
      <c r="B112" s="39" t="s">
        <v>63</v>
      </c>
      <c r="C112" s="39" t="s">
        <v>292</v>
      </c>
      <c r="D112" s="39" t="s">
        <v>293</v>
      </c>
      <c r="E112" s="39" t="s">
        <v>8</v>
      </c>
      <c r="F112" s="39" t="s">
        <v>45</v>
      </c>
      <c r="G112" s="39" t="s">
        <v>66</v>
      </c>
      <c r="H112" s="39" t="s">
        <v>52</v>
      </c>
      <c r="I112" s="44">
        <v>423.9</v>
      </c>
      <c r="J112" s="44">
        <v>67.819999999999993</v>
      </c>
      <c r="K112" s="39" t="s">
        <v>68</v>
      </c>
      <c r="L112" s="44">
        <v>61.037999999999997</v>
      </c>
      <c r="M112" s="44">
        <v>1.2207600000000001</v>
      </c>
      <c r="N112" s="44">
        <v>59.817239999999998</v>
      </c>
    </row>
    <row r="113" spans="1:14" x14ac:dyDescent="0.3">
      <c r="A113" s="39" t="s">
        <v>53</v>
      </c>
      <c r="B113" s="39" t="s">
        <v>63</v>
      </c>
      <c r="C113" s="39" t="s">
        <v>292</v>
      </c>
      <c r="D113" s="39" t="s">
        <v>293</v>
      </c>
      <c r="E113" s="39" t="s">
        <v>8</v>
      </c>
      <c r="F113" s="39" t="s">
        <v>45</v>
      </c>
      <c r="G113" s="39" t="s">
        <v>66</v>
      </c>
      <c r="H113" s="39" t="s">
        <v>52</v>
      </c>
      <c r="I113" s="44">
        <v>7.97</v>
      </c>
      <c r="J113" s="44">
        <v>1.27</v>
      </c>
      <c r="K113" s="39" t="s">
        <v>68</v>
      </c>
      <c r="L113" s="44">
        <v>1.143</v>
      </c>
      <c r="M113" s="44">
        <v>2.2860000000000002E-2</v>
      </c>
      <c r="N113" s="44">
        <v>1.1201399999999999</v>
      </c>
    </row>
    <row r="114" spans="1:14" x14ac:dyDescent="0.3">
      <c r="A114" s="39" t="s">
        <v>53</v>
      </c>
      <c r="B114" s="39" t="s">
        <v>63</v>
      </c>
      <c r="C114" s="39" t="s">
        <v>96</v>
      </c>
      <c r="D114" s="39" t="s">
        <v>97</v>
      </c>
      <c r="E114" s="39" t="s">
        <v>8</v>
      </c>
      <c r="F114" s="39" t="s">
        <v>45</v>
      </c>
      <c r="G114" s="39" t="s">
        <v>66</v>
      </c>
      <c r="H114" s="39" t="s">
        <v>52</v>
      </c>
      <c r="I114" s="44">
        <v>96.35</v>
      </c>
      <c r="J114" s="44">
        <v>9.6300000000000008</v>
      </c>
      <c r="K114" s="39" t="s">
        <v>68</v>
      </c>
      <c r="L114" s="44">
        <v>8.6670000000000016</v>
      </c>
      <c r="M114" s="44">
        <v>0.17334000000000002</v>
      </c>
      <c r="N114" s="44">
        <v>8.493660000000002</v>
      </c>
    </row>
    <row r="115" spans="1:14" x14ac:dyDescent="0.3">
      <c r="A115" s="39" t="s">
        <v>53</v>
      </c>
      <c r="B115" s="39" t="s">
        <v>63</v>
      </c>
      <c r="C115" s="39" t="s">
        <v>98</v>
      </c>
      <c r="D115" s="39" t="s">
        <v>99</v>
      </c>
      <c r="E115" s="39" t="s">
        <v>8</v>
      </c>
      <c r="F115" s="39" t="s">
        <v>45</v>
      </c>
      <c r="G115" s="39" t="s">
        <v>66</v>
      </c>
      <c r="H115" s="39" t="s">
        <v>52</v>
      </c>
      <c r="I115" s="44">
        <v>87.59</v>
      </c>
      <c r="J115" s="44">
        <v>8.76</v>
      </c>
      <c r="K115" s="39" t="s">
        <v>68</v>
      </c>
      <c r="L115" s="44">
        <v>7.8840000000000003</v>
      </c>
      <c r="M115" s="44">
        <v>0.15768000000000001</v>
      </c>
      <c r="N115" s="44">
        <v>7.7263200000000003</v>
      </c>
    </row>
    <row r="116" spans="1:14" x14ac:dyDescent="0.3">
      <c r="A116" s="39" t="s">
        <v>53</v>
      </c>
      <c r="B116" s="39" t="s">
        <v>63</v>
      </c>
      <c r="C116" s="39" t="s">
        <v>100</v>
      </c>
      <c r="D116" s="39" t="s">
        <v>101</v>
      </c>
      <c r="E116" s="39" t="s">
        <v>8</v>
      </c>
      <c r="F116" s="39" t="s">
        <v>45</v>
      </c>
      <c r="G116" s="39" t="s">
        <v>66</v>
      </c>
      <c r="H116" s="39" t="s">
        <v>52</v>
      </c>
      <c r="I116" s="44">
        <v>140.13999999999999</v>
      </c>
      <c r="J116" s="44">
        <v>14.01</v>
      </c>
      <c r="K116" s="39" t="s">
        <v>68</v>
      </c>
      <c r="L116" s="44">
        <v>12.609</v>
      </c>
      <c r="M116" s="44">
        <v>0.25218000000000002</v>
      </c>
      <c r="N116" s="44">
        <v>12.356820000000001</v>
      </c>
    </row>
    <row r="117" spans="1:14" x14ac:dyDescent="0.3">
      <c r="A117" s="39" t="s">
        <v>53</v>
      </c>
      <c r="B117" s="39" t="s">
        <v>63</v>
      </c>
      <c r="C117" s="39" t="s">
        <v>102</v>
      </c>
      <c r="D117" s="39" t="s">
        <v>103</v>
      </c>
      <c r="E117" s="39" t="s">
        <v>8</v>
      </c>
      <c r="F117" s="39" t="s">
        <v>45</v>
      </c>
      <c r="G117" s="39" t="s">
        <v>66</v>
      </c>
      <c r="H117" s="39" t="s">
        <v>52</v>
      </c>
      <c r="I117" s="44">
        <v>87.59</v>
      </c>
      <c r="J117" s="44">
        <v>8.76</v>
      </c>
      <c r="K117" s="39" t="s">
        <v>68</v>
      </c>
      <c r="L117" s="44">
        <v>7.8840000000000003</v>
      </c>
      <c r="M117" s="44">
        <v>0.15768000000000001</v>
      </c>
      <c r="N117" s="44">
        <v>7.7263200000000003</v>
      </c>
    </row>
    <row r="118" spans="1:14" x14ac:dyDescent="0.3">
      <c r="A118" s="39" t="s">
        <v>53</v>
      </c>
      <c r="B118" s="39" t="s">
        <v>63</v>
      </c>
      <c r="C118" s="39" t="s">
        <v>104</v>
      </c>
      <c r="D118" s="39" t="s">
        <v>105</v>
      </c>
      <c r="E118" s="39" t="s">
        <v>8</v>
      </c>
      <c r="F118" s="39" t="s">
        <v>45</v>
      </c>
      <c r="G118" s="39" t="s">
        <v>66</v>
      </c>
      <c r="H118" s="39" t="s">
        <v>52</v>
      </c>
      <c r="I118" s="44">
        <v>154.61000000000001</v>
      </c>
      <c r="J118" s="44">
        <v>15.46</v>
      </c>
      <c r="K118" s="39" t="s">
        <v>68</v>
      </c>
      <c r="L118" s="44">
        <v>13.914000000000001</v>
      </c>
      <c r="M118" s="44">
        <v>0.27828000000000003</v>
      </c>
      <c r="N118" s="44">
        <v>13.635720000000001</v>
      </c>
    </row>
    <row r="119" spans="1:14" x14ac:dyDescent="0.3">
      <c r="A119" s="39" t="s">
        <v>53</v>
      </c>
      <c r="B119" s="39" t="s">
        <v>63</v>
      </c>
      <c r="C119" s="39" t="s">
        <v>106</v>
      </c>
      <c r="D119" s="39" t="s">
        <v>107</v>
      </c>
      <c r="E119" s="39" t="s">
        <v>8</v>
      </c>
      <c r="F119" s="39" t="s">
        <v>45</v>
      </c>
      <c r="G119" s="39" t="s">
        <v>66</v>
      </c>
      <c r="H119" s="39" t="s">
        <v>52</v>
      </c>
      <c r="I119" s="44">
        <v>175.17</v>
      </c>
      <c r="J119" s="44">
        <v>17.52</v>
      </c>
      <c r="K119" s="39" t="s">
        <v>68</v>
      </c>
      <c r="L119" s="44">
        <v>15.768000000000001</v>
      </c>
      <c r="M119" s="44">
        <v>0.31536000000000003</v>
      </c>
      <c r="N119" s="44">
        <v>15.452640000000001</v>
      </c>
    </row>
    <row r="120" spans="1:14" x14ac:dyDescent="0.3">
      <c r="A120" s="39" t="s">
        <v>53</v>
      </c>
      <c r="B120" s="39" t="s">
        <v>63</v>
      </c>
      <c r="C120" s="39" t="s">
        <v>108</v>
      </c>
      <c r="D120" s="39" t="s">
        <v>109</v>
      </c>
      <c r="E120" s="39" t="s">
        <v>8</v>
      </c>
      <c r="F120" s="39" t="s">
        <v>45</v>
      </c>
      <c r="G120" s="39" t="s">
        <v>66</v>
      </c>
      <c r="H120" s="39" t="s">
        <v>52</v>
      </c>
      <c r="I120" s="44">
        <v>153.28</v>
      </c>
      <c r="J120" s="44">
        <v>15.33</v>
      </c>
      <c r="K120" s="39" t="s">
        <v>68</v>
      </c>
      <c r="L120" s="44">
        <v>13.797000000000001</v>
      </c>
      <c r="M120" s="44">
        <v>0.27594000000000002</v>
      </c>
      <c r="N120" s="44">
        <v>13.52106</v>
      </c>
    </row>
    <row r="121" spans="1:14" x14ac:dyDescent="0.3">
      <c r="A121" s="39" t="s">
        <v>53</v>
      </c>
      <c r="B121" s="39" t="s">
        <v>63</v>
      </c>
      <c r="C121" s="39" t="s">
        <v>110</v>
      </c>
      <c r="D121" s="39" t="s">
        <v>111</v>
      </c>
      <c r="E121" s="39" t="s">
        <v>8</v>
      </c>
      <c r="F121" s="39" t="s">
        <v>45</v>
      </c>
      <c r="G121" s="39" t="s">
        <v>66</v>
      </c>
      <c r="H121" s="39" t="s">
        <v>52</v>
      </c>
      <c r="I121" s="44">
        <v>87.59</v>
      </c>
      <c r="J121" s="44">
        <v>8.76</v>
      </c>
      <c r="K121" s="39" t="s">
        <v>68</v>
      </c>
      <c r="L121" s="44">
        <v>7.8840000000000003</v>
      </c>
      <c r="M121" s="44">
        <v>0.15768000000000001</v>
      </c>
      <c r="N121" s="44">
        <v>7.7263200000000003</v>
      </c>
    </row>
    <row r="122" spans="1:14" x14ac:dyDescent="0.3">
      <c r="A122" s="39" t="s">
        <v>53</v>
      </c>
      <c r="B122" s="39" t="s">
        <v>63</v>
      </c>
      <c r="C122" s="39" t="s">
        <v>112</v>
      </c>
      <c r="D122" s="39" t="s">
        <v>113</v>
      </c>
      <c r="E122" s="39" t="s">
        <v>8</v>
      </c>
      <c r="F122" s="39" t="s">
        <v>45</v>
      </c>
      <c r="G122" s="39" t="s">
        <v>66</v>
      </c>
      <c r="H122" s="39" t="s">
        <v>52</v>
      </c>
      <c r="I122" s="44">
        <v>87.59</v>
      </c>
      <c r="J122" s="44">
        <v>8.76</v>
      </c>
      <c r="K122" s="39" t="s">
        <v>68</v>
      </c>
      <c r="L122" s="44">
        <v>7.8840000000000003</v>
      </c>
      <c r="M122" s="44">
        <v>0.15768000000000001</v>
      </c>
      <c r="N122" s="44">
        <v>7.7263200000000003</v>
      </c>
    </row>
    <row r="123" spans="1:14" x14ac:dyDescent="0.3">
      <c r="A123" s="39" t="s">
        <v>53</v>
      </c>
      <c r="B123" s="39" t="s">
        <v>63</v>
      </c>
      <c r="C123" s="39" t="s">
        <v>114</v>
      </c>
      <c r="D123" s="39" t="s">
        <v>115</v>
      </c>
      <c r="E123" s="39" t="s">
        <v>8</v>
      </c>
      <c r="F123" s="39" t="s">
        <v>45</v>
      </c>
      <c r="G123" s="39" t="s">
        <v>66</v>
      </c>
      <c r="H123" s="39" t="s">
        <v>52</v>
      </c>
      <c r="I123" s="44">
        <v>189.65</v>
      </c>
      <c r="J123" s="44">
        <v>18.96</v>
      </c>
      <c r="K123" s="39" t="s">
        <v>68</v>
      </c>
      <c r="L123" s="44">
        <v>17.064</v>
      </c>
      <c r="M123" s="44">
        <v>0.34128000000000003</v>
      </c>
      <c r="N123" s="44">
        <v>16.722719999999999</v>
      </c>
    </row>
    <row r="124" spans="1:14" x14ac:dyDescent="0.3">
      <c r="A124" s="39" t="s">
        <v>53</v>
      </c>
      <c r="B124" s="39" t="s">
        <v>63</v>
      </c>
      <c r="C124" s="39" t="s">
        <v>116</v>
      </c>
      <c r="D124" s="39" t="s">
        <v>117</v>
      </c>
      <c r="E124" s="39" t="s">
        <v>8</v>
      </c>
      <c r="F124" s="39" t="s">
        <v>45</v>
      </c>
      <c r="G124" s="39" t="s">
        <v>66</v>
      </c>
      <c r="H124" s="39" t="s">
        <v>52</v>
      </c>
      <c r="I124" s="44">
        <v>87.59</v>
      </c>
      <c r="J124" s="44">
        <v>8.76</v>
      </c>
      <c r="K124" s="39" t="s">
        <v>68</v>
      </c>
      <c r="L124" s="44">
        <v>7.8840000000000003</v>
      </c>
      <c r="M124" s="44">
        <v>0.15768000000000001</v>
      </c>
      <c r="N124" s="44">
        <v>7.7263200000000003</v>
      </c>
    </row>
    <row r="125" spans="1:14" x14ac:dyDescent="0.3">
      <c r="A125" s="39" t="s">
        <v>53</v>
      </c>
      <c r="B125" s="39" t="s">
        <v>63</v>
      </c>
      <c r="C125" s="39" t="s">
        <v>118</v>
      </c>
      <c r="D125" s="39" t="s">
        <v>119</v>
      </c>
      <c r="E125" s="39" t="s">
        <v>8</v>
      </c>
      <c r="F125" s="39" t="s">
        <v>45</v>
      </c>
      <c r="G125" s="39" t="s">
        <v>66</v>
      </c>
      <c r="H125" s="39" t="s">
        <v>52</v>
      </c>
      <c r="I125" s="44">
        <v>87.59</v>
      </c>
      <c r="J125" s="44">
        <v>8.76</v>
      </c>
      <c r="K125" s="39" t="s">
        <v>68</v>
      </c>
      <c r="L125" s="44">
        <v>7.8840000000000003</v>
      </c>
      <c r="M125" s="44">
        <v>0.15768000000000001</v>
      </c>
      <c r="N125" s="44">
        <v>7.7263200000000003</v>
      </c>
    </row>
    <row r="126" spans="1:14" x14ac:dyDescent="0.3">
      <c r="A126" s="39" t="s">
        <v>53</v>
      </c>
      <c r="B126" s="39" t="s">
        <v>63</v>
      </c>
      <c r="C126" s="39" t="s">
        <v>120</v>
      </c>
      <c r="D126" s="39" t="s">
        <v>121</v>
      </c>
      <c r="E126" s="39" t="s">
        <v>8</v>
      </c>
      <c r="F126" s="39" t="s">
        <v>45</v>
      </c>
      <c r="G126" s="39" t="s">
        <v>66</v>
      </c>
      <c r="H126" s="39" t="s">
        <v>52</v>
      </c>
      <c r="I126" s="44">
        <v>87.59</v>
      </c>
      <c r="J126" s="44">
        <v>8.76</v>
      </c>
      <c r="K126" s="39" t="s">
        <v>68</v>
      </c>
      <c r="L126" s="44">
        <v>7.8840000000000003</v>
      </c>
      <c r="M126" s="44">
        <v>0.15768000000000001</v>
      </c>
      <c r="N126" s="44">
        <v>7.7263200000000003</v>
      </c>
    </row>
    <row r="127" spans="1:14" x14ac:dyDescent="0.3">
      <c r="A127" s="39" t="s">
        <v>53</v>
      </c>
      <c r="B127" s="39" t="s">
        <v>63</v>
      </c>
      <c r="C127" s="39" t="s">
        <v>122</v>
      </c>
      <c r="D127" s="39" t="s">
        <v>123</v>
      </c>
      <c r="E127" s="39" t="s">
        <v>8</v>
      </c>
      <c r="F127" s="39" t="s">
        <v>45</v>
      </c>
      <c r="G127" s="39" t="s">
        <v>66</v>
      </c>
      <c r="H127" s="39" t="s">
        <v>52</v>
      </c>
      <c r="I127" s="44">
        <v>118.24</v>
      </c>
      <c r="J127" s="44">
        <v>11.82</v>
      </c>
      <c r="K127" s="39" t="s">
        <v>68</v>
      </c>
      <c r="L127" s="44">
        <v>10.638</v>
      </c>
      <c r="M127" s="44">
        <v>0.21276</v>
      </c>
      <c r="N127" s="44">
        <v>10.425240000000001</v>
      </c>
    </row>
    <row r="128" spans="1:14" x14ac:dyDescent="0.3">
      <c r="A128" s="39" t="s">
        <v>53</v>
      </c>
      <c r="B128" s="39" t="s">
        <v>63</v>
      </c>
      <c r="C128" s="39" t="s">
        <v>124</v>
      </c>
      <c r="D128" s="39" t="s">
        <v>125</v>
      </c>
      <c r="E128" s="39" t="s">
        <v>8</v>
      </c>
      <c r="F128" s="39" t="s">
        <v>45</v>
      </c>
      <c r="G128" s="39" t="s">
        <v>66</v>
      </c>
      <c r="H128" s="39" t="s">
        <v>52</v>
      </c>
      <c r="I128" s="44">
        <v>87.59</v>
      </c>
      <c r="J128" s="44">
        <v>8.76</v>
      </c>
      <c r="K128" s="39" t="s">
        <v>68</v>
      </c>
      <c r="L128" s="44">
        <v>7.8840000000000003</v>
      </c>
      <c r="M128" s="44">
        <v>0.15768000000000001</v>
      </c>
      <c r="N128" s="44">
        <v>7.7263200000000003</v>
      </c>
    </row>
    <row r="129" spans="1:14" x14ac:dyDescent="0.3">
      <c r="A129" s="39" t="s">
        <v>53</v>
      </c>
      <c r="B129" s="39" t="s">
        <v>63</v>
      </c>
      <c r="C129" s="39" t="s">
        <v>126</v>
      </c>
      <c r="D129" s="39" t="s">
        <v>127</v>
      </c>
      <c r="E129" s="39" t="s">
        <v>8</v>
      </c>
      <c r="F129" s="39" t="s">
        <v>45</v>
      </c>
      <c r="G129" s="39" t="s">
        <v>66</v>
      </c>
      <c r="H129" s="39" t="s">
        <v>52</v>
      </c>
      <c r="I129" s="44">
        <v>87.59</v>
      </c>
      <c r="J129" s="44">
        <v>8.76</v>
      </c>
      <c r="K129" s="39" t="s">
        <v>68</v>
      </c>
      <c r="L129" s="44">
        <v>7.8840000000000003</v>
      </c>
      <c r="M129" s="44">
        <v>0.15768000000000001</v>
      </c>
      <c r="N129" s="44">
        <v>7.7263200000000003</v>
      </c>
    </row>
    <row r="130" spans="1:14" x14ac:dyDescent="0.3">
      <c r="A130" s="39" t="s">
        <v>53</v>
      </c>
      <c r="B130" s="39" t="s">
        <v>63</v>
      </c>
      <c r="C130" s="39" t="s">
        <v>128</v>
      </c>
      <c r="D130" s="39" t="s">
        <v>129</v>
      </c>
      <c r="E130" s="39" t="s">
        <v>8</v>
      </c>
      <c r="F130" s="39" t="s">
        <v>45</v>
      </c>
      <c r="G130" s="39" t="s">
        <v>66</v>
      </c>
      <c r="H130" s="39" t="s">
        <v>52</v>
      </c>
      <c r="I130" s="44">
        <v>87.59</v>
      </c>
      <c r="J130" s="44">
        <v>8.76</v>
      </c>
      <c r="K130" s="39" t="s">
        <v>68</v>
      </c>
      <c r="L130" s="44">
        <v>7.8840000000000003</v>
      </c>
      <c r="M130" s="44">
        <v>0.15768000000000001</v>
      </c>
      <c r="N130" s="44">
        <v>7.7263200000000003</v>
      </c>
    </row>
    <row r="131" spans="1:14" x14ac:dyDescent="0.3">
      <c r="A131" s="39" t="s">
        <v>53</v>
      </c>
      <c r="B131" s="39" t="s">
        <v>63</v>
      </c>
      <c r="C131" s="39" t="s">
        <v>130</v>
      </c>
      <c r="D131" s="39" t="s">
        <v>131</v>
      </c>
      <c r="E131" s="39" t="s">
        <v>8</v>
      </c>
      <c r="F131" s="39" t="s">
        <v>45</v>
      </c>
      <c r="G131" s="39" t="s">
        <v>66</v>
      </c>
      <c r="H131" s="39" t="s">
        <v>52</v>
      </c>
      <c r="I131" s="44">
        <v>87.59</v>
      </c>
      <c r="J131" s="44">
        <v>8.76</v>
      </c>
      <c r="K131" s="39" t="s">
        <v>68</v>
      </c>
      <c r="L131" s="44">
        <v>7.8840000000000003</v>
      </c>
      <c r="M131" s="44">
        <v>0.15768000000000001</v>
      </c>
      <c r="N131" s="44">
        <v>7.7263200000000003</v>
      </c>
    </row>
    <row r="132" spans="1:14" x14ac:dyDescent="0.3">
      <c r="A132" s="39" t="s">
        <v>53</v>
      </c>
      <c r="B132" s="39" t="s">
        <v>63</v>
      </c>
      <c r="C132" s="39" t="s">
        <v>132</v>
      </c>
      <c r="D132" s="39" t="s">
        <v>133</v>
      </c>
      <c r="E132" s="39" t="s">
        <v>8</v>
      </c>
      <c r="F132" s="39" t="s">
        <v>45</v>
      </c>
      <c r="G132" s="39" t="s">
        <v>66</v>
      </c>
      <c r="H132" s="39" t="s">
        <v>52</v>
      </c>
      <c r="I132" s="44">
        <v>87.59</v>
      </c>
      <c r="J132" s="44">
        <v>8.76</v>
      </c>
      <c r="K132" s="39" t="s">
        <v>68</v>
      </c>
      <c r="L132" s="44">
        <v>7.8840000000000003</v>
      </c>
      <c r="M132" s="44">
        <v>0.15768000000000001</v>
      </c>
      <c r="N132" s="44">
        <v>7.7263200000000003</v>
      </c>
    </row>
    <row r="133" spans="1:14" x14ac:dyDescent="0.3">
      <c r="A133" s="39" t="s">
        <v>53</v>
      </c>
      <c r="B133" s="39" t="s">
        <v>63</v>
      </c>
      <c r="C133" s="39" t="s">
        <v>134</v>
      </c>
      <c r="D133" s="39" t="s">
        <v>135</v>
      </c>
      <c r="E133" s="39" t="s">
        <v>8</v>
      </c>
      <c r="F133" s="39" t="s">
        <v>45</v>
      </c>
      <c r="G133" s="39" t="s">
        <v>66</v>
      </c>
      <c r="H133" s="39" t="s">
        <v>52</v>
      </c>
      <c r="I133" s="44">
        <v>87.59</v>
      </c>
      <c r="J133" s="44">
        <v>8.76</v>
      </c>
      <c r="K133" s="39" t="s">
        <v>68</v>
      </c>
      <c r="L133" s="44">
        <v>7.8840000000000003</v>
      </c>
      <c r="M133" s="44">
        <v>0.15768000000000001</v>
      </c>
      <c r="N133" s="44">
        <v>7.7263200000000003</v>
      </c>
    </row>
    <row r="134" spans="1:14" x14ac:dyDescent="0.3">
      <c r="A134" s="39" t="s">
        <v>53</v>
      </c>
      <c r="B134" s="39" t="s">
        <v>63</v>
      </c>
      <c r="C134" s="39" t="s">
        <v>136</v>
      </c>
      <c r="D134" s="39" t="s">
        <v>137</v>
      </c>
      <c r="E134" s="39" t="s">
        <v>8</v>
      </c>
      <c r="F134" s="39" t="s">
        <v>45</v>
      </c>
      <c r="G134" s="39" t="s">
        <v>66</v>
      </c>
      <c r="H134" s="39" t="s">
        <v>52</v>
      </c>
      <c r="I134" s="44">
        <v>87.59</v>
      </c>
      <c r="J134" s="44">
        <v>8.76</v>
      </c>
      <c r="K134" s="39" t="s">
        <v>68</v>
      </c>
      <c r="L134" s="44">
        <v>7.8840000000000003</v>
      </c>
      <c r="M134" s="44">
        <v>0.15768000000000001</v>
      </c>
      <c r="N134" s="44">
        <v>7.7263200000000003</v>
      </c>
    </row>
    <row r="135" spans="1:14" x14ac:dyDescent="0.3">
      <c r="A135" s="39" t="s">
        <v>53</v>
      </c>
      <c r="B135" s="39" t="s">
        <v>63</v>
      </c>
      <c r="C135" s="39" t="s">
        <v>138</v>
      </c>
      <c r="D135" s="39" t="s">
        <v>139</v>
      </c>
      <c r="E135" s="39" t="s">
        <v>8</v>
      </c>
      <c r="F135" s="39" t="s">
        <v>45</v>
      </c>
      <c r="G135" s="39" t="s">
        <v>66</v>
      </c>
      <c r="H135" s="39" t="s">
        <v>52</v>
      </c>
      <c r="I135" s="44">
        <v>87.59</v>
      </c>
      <c r="J135" s="44">
        <v>8.76</v>
      </c>
      <c r="K135" s="39" t="s">
        <v>68</v>
      </c>
      <c r="L135" s="44">
        <v>7.8840000000000003</v>
      </c>
      <c r="M135" s="44">
        <v>0.15768000000000001</v>
      </c>
      <c r="N135" s="44">
        <v>7.7263200000000003</v>
      </c>
    </row>
    <row r="136" spans="1:14" x14ac:dyDescent="0.3">
      <c r="A136" s="39" t="s">
        <v>53</v>
      </c>
      <c r="B136" s="39" t="s">
        <v>63</v>
      </c>
      <c r="C136" s="39" t="s">
        <v>140</v>
      </c>
      <c r="D136" s="39" t="s">
        <v>141</v>
      </c>
      <c r="E136" s="39" t="s">
        <v>8</v>
      </c>
      <c r="F136" s="39" t="s">
        <v>45</v>
      </c>
      <c r="G136" s="39" t="s">
        <v>66</v>
      </c>
      <c r="H136" s="39" t="s">
        <v>52</v>
      </c>
      <c r="I136" s="44">
        <v>87.59</v>
      </c>
      <c r="J136" s="44">
        <v>8.76</v>
      </c>
      <c r="K136" s="39" t="s">
        <v>68</v>
      </c>
      <c r="L136" s="44">
        <v>7.8840000000000003</v>
      </c>
      <c r="M136" s="44">
        <v>0.15768000000000001</v>
      </c>
      <c r="N136" s="44">
        <v>7.7263200000000003</v>
      </c>
    </row>
    <row r="137" spans="1:14" x14ac:dyDescent="0.3">
      <c r="A137" s="39" t="s">
        <v>53</v>
      </c>
      <c r="B137" s="39" t="s">
        <v>63</v>
      </c>
      <c r="C137" s="39" t="s">
        <v>142</v>
      </c>
      <c r="D137" s="39" t="s">
        <v>143</v>
      </c>
      <c r="E137" s="39" t="s">
        <v>8</v>
      </c>
      <c r="F137" s="39" t="s">
        <v>45</v>
      </c>
      <c r="G137" s="39" t="s">
        <v>66</v>
      </c>
      <c r="H137" s="39" t="s">
        <v>52</v>
      </c>
      <c r="I137" s="44">
        <v>87.59</v>
      </c>
      <c r="J137" s="44">
        <v>8.76</v>
      </c>
      <c r="K137" s="39" t="s">
        <v>68</v>
      </c>
      <c r="L137" s="44">
        <v>7.8840000000000003</v>
      </c>
      <c r="M137" s="44">
        <v>0.15768000000000001</v>
      </c>
      <c r="N137" s="44">
        <v>7.7263200000000003</v>
      </c>
    </row>
    <row r="138" spans="1:14" x14ac:dyDescent="0.3">
      <c r="A138" s="39" t="s">
        <v>53</v>
      </c>
      <c r="B138" s="39" t="s">
        <v>63</v>
      </c>
      <c r="C138" s="39" t="s">
        <v>144</v>
      </c>
      <c r="D138" s="39" t="s">
        <v>145</v>
      </c>
      <c r="E138" s="39" t="s">
        <v>8</v>
      </c>
      <c r="F138" s="39" t="s">
        <v>45</v>
      </c>
      <c r="G138" s="39" t="s">
        <v>66</v>
      </c>
      <c r="H138" s="39" t="s">
        <v>52</v>
      </c>
      <c r="I138" s="44">
        <v>118.24</v>
      </c>
      <c r="J138" s="44">
        <v>11.82</v>
      </c>
      <c r="K138" s="39" t="s">
        <v>68</v>
      </c>
      <c r="L138" s="44">
        <v>10.638</v>
      </c>
      <c r="M138" s="44">
        <v>0.21276</v>
      </c>
      <c r="N138" s="44">
        <v>10.425240000000001</v>
      </c>
    </row>
    <row r="139" spans="1:14" x14ac:dyDescent="0.3">
      <c r="A139" s="39" t="s">
        <v>53</v>
      </c>
      <c r="B139" s="39" t="s">
        <v>63</v>
      </c>
      <c r="C139" s="39" t="s">
        <v>146</v>
      </c>
      <c r="D139" s="39" t="s">
        <v>147</v>
      </c>
      <c r="E139" s="39" t="s">
        <v>8</v>
      </c>
      <c r="F139" s="39" t="s">
        <v>45</v>
      </c>
      <c r="G139" s="39" t="s">
        <v>66</v>
      </c>
      <c r="H139" s="39" t="s">
        <v>52</v>
      </c>
      <c r="I139" s="44">
        <v>221.63</v>
      </c>
      <c r="J139" s="44">
        <v>22.16</v>
      </c>
      <c r="K139" s="39" t="s">
        <v>68</v>
      </c>
      <c r="L139" s="44">
        <v>19.943999999999999</v>
      </c>
      <c r="M139" s="44">
        <v>0.39888000000000001</v>
      </c>
      <c r="N139" s="44">
        <v>19.545120000000001</v>
      </c>
    </row>
    <row r="140" spans="1:14" x14ac:dyDescent="0.3">
      <c r="A140" s="39" t="s">
        <v>53</v>
      </c>
      <c r="B140" s="39" t="s">
        <v>63</v>
      </c>
      <c r="C140" s="39" t="s">
        <v>148</v>
      </c>
      <c r="D140" s="39" t="s">
        <v>149</v>
      </c>
      <c r="E140" s="39" t="s">
        <v>8</v>
      </c>
      <c r="F140" s="39" t="s">
        <v>45</v>
      </c>
      <c r="G140" s="39" t="s">
        <v>66</v>
      </c>
      <c r="H140" s="39" t="s">
        <v>52</v>
      </c>
      <c r="I140" s="44">
        <v>96.35</v>
      </c>
      <c r="J140" s="44">
        <v>9.6300000000000008</v>
      </c>
      <c r="K140" s="39" t="s">
        <v>68</v>
      </c>
      <c r="L140" s="44">
        <v>8.6670000000000016</v>
      </c>
      <c r="M140" s="44">
        <v>0.17334000000000002</v>
      </c>
      <c r="N140" s="44">
        <v>8.493660000000002</v>
      </c>
    </row>
    <row r="141" spans="1:14" x14ac:dyDescent="0.3">
      <c r="A141" s="39" t="s">
        <v>53</v>
      </c>
      <c r="B141" s="39" t="s">
        <v>63</v>
      </c>
      <c r="C141" s="39" t="s">
        <v>294</v>
      </c>
      <c r="D141" s="39" t="s">
        <v>295</v>
      </c>
      <c r="E141" s="39" t="s">
        <v>8</v>
      </c>
      <c r="F141" s="39" t="s">
        <v>47</v>
      </c>
      <c r="G141" s="39" t="s">
        <v>66</v>
      </c>
      <c r="H141" s="39" t="s">
        <v>52</v>
      </c>
      <c r="I141" s="44">
        <v>87.55</v>
      </c>
      <c r="J141" s="44">
        <v>19.260000000000002</v>
      </c>
      <c r="K141" s="39" t="s">
        <v>68</v>
      </c>
      <c r="L141" s="44">
        <v>17.334000000000003</v>
      </c>
      <c r="M141" s="44">
        <v>0.34668000000000004</v>
      </c>
      <c r="N141" s="44">
        <v>16.987320000000004</v>
      </c>
    </row>
    <row r="142" spans="1:14" x14ac:dyDescent="0.3">
      <c r="A142" s="39" t="s">
        <v>53</v>
      </c>
      <c r="B142" s="39" t="s">
        <v>63</v>
      </c>
      <c r="C142" s="39" t="s">
        <v>296</v>
      </c>
      <c r="D142" s="39" t="s">
        <v>297</v>
      </c>
      <c r="E142" s="39" t="s">
        <v>8</v>
      </c>
      <c r="F142" s="39" t="s">
        <v>47</v>
      </c>
      <c r="G142" s="39" t="s">
        <v>66</v>
      </c>
      <c r="H142" s="39" t="s">
        <v>52</v>
      </c>
      <c r="I142" s="44">
        <v>167.41</v>
      </c>
      <c r="J142" s="44">
        <v>36.83</v>
      </c>
      <c r="K142" s="39" t="s">
        <v>68</v>
      </c>
      <c r="L142" s="44">
        <v>33.146999999999998</v>
      </c>
      <c r="M142" s="44">
        <v>0.66293999999999997</v>
      </c>
      <c r="N142" s="44">
        <v>32.484059999999999</v>
      </c>
    </row>
    <row r="143" spans="1:14" x14ac:dyDescent="0.3">
      <c r="A143" s="39" t="s">
        <v>53</v>
      </c>
      <c r="B143" s="39" t="s">
        <v>63</v>
      </c>
      <c r="C143" s="39" t="s">
        <v>298</v>
      </c>
      <c r="D143" s="39" t="s">
        <v>299</v>
      </c>
      <c r="E143" s="39" t="s">
        <v>8</v>
      </c>
      <c r="F143" s="39" t="s">
        <v>51</v>
      </c>
      <c r="G143" s="39" t="s">
        <v>66</v>
      </c>
      <c r="H143" s="39" t="s">
        <v>52</v>
      </c>
      <c r="I143" s="44">
        <v>738.92</v>
      </c>
      <c r="J143" s="44">
        <v>162.56</v>
      </c>
      <c r="K143" s="39" t="s">
        <v>68</v>
      </c>
      <c r="L143" s="44">
        <v>146.304</v>
      </c>
      <c r="M143" s="44">
        <v>2.9260800000000002</v>
      </c>
      <c r="N143" s="44">
        <v>143.37791999999999</v>
      </c>
    </row>
    <row r="144" spans="1:14" x14ac:dyDescent="0.3">
      <c r="A144" s="39" t="s">
        <v>53</v>
      </c>
      <c r="B144" s="39" t="s">
        <v>63</v>
      </c>
      <c r="C144" s="39" t="s">
        <v>150</v>
      </c>
      <c r="D144" s="39" t="s">
        <v>151</v>
      </c>
      <c r="E144" s="39" t="s">
        <v>8</v>
      </c>
      <c r="F144" s="39" t="s">
        <v>45</v>
      </c>
      <c r="G144" s="39" t="s">
        <v>66</v>
      </c>
      <c r="H144" s="39" t="s">
        <v>52</v>
      </c>
      <c r="I144" s="44">
        <v>394.15</v>
      </c>
      <c r="J144" s="44">
        <v>39.409999999999997</v>
      </c>
      <c r="K144" s="39" t="s">
        <v>68</v>
      </c>
      <c r="L144" s="44">
        <v>35.469000000000001</v>
      </c>
      <c r="M144" s="44">
        <v>0.70938000000000001</v>
      </c>
      <c r="N144" s="44">
        <v>34.759619999999998</v>
      </c>
    </row>
    <row r="145" spans="1:14" x14ac:dyDescent="0.3">
      <c r="A145" s="39" t="s">
        <v>53</v>
      </c>
      <c r="B145" s="39" t="s">
        <v>63</v>
      </c>
      <c r="C145" s="39" t="s">
        <v>300</v>
      </c>
      <c r="D145" s="39" t="s">
        <v>301</v>
      </c>
      <c r="E145" s="39" t="s">
        <v>8</v>
      </c>
      <c r="F145" s="39" t="s">
        <v>47</v>
      </c>
      <c r="G145" s="39" t="s">
        <v>66</v>
      </c>
      <c r="H145" s="39" t="s">
        <v>52</v>
      </c>
      <c r="I145" s="44">
        <v>182.63</v>
      </c>
      <c r="J145" s="44">
        <v>40.18</v>
      </c>
      <c r="K145" s="39" t="s">
        <v>68</v>
      </c>
      <c r="L145" s="44">
        <v>36.161999999999999</v>
      </c>
      <c r="M145" s="44">
        <v>0.72323999999999999</v>
      </c>
      <c r="N145" s="44">
        <v>35.438760000000002</v>
      </c>
    </row>
    <row r="146" spans="1:14" x14ac:dyDescent="0.3">
      <c r="A146" s="39" t="s">
        <v>53</v>
      </c>
      <c r="B146" s="39" t="s">
        <v>63</v>
      </c>
      <c r="C146" s="39" t="s">
        <v>302</v>
      </c>
      <c r="D146" s="39" t="s">
        <v>303</v>
      </c>
      <c r="E146" s="39" t="s">
        <v>8</v>
      </c>
      <c r="F146" s="39" t="s">
        <v>47</v>
      </c>
      <c r="G146" s="39" t="s">
        <v>66</v>
      </c>
      <c r="H146" s="39" t="s">
        <v>52</v>
      </c>
      <c r="I146" s="44">
        <v>156.72999999999999</v>
      </c>
      <c r="J146" s="44">
        <v>34.479999999999997</v>
      </c>
      <c r="K146" s="39" t="s">
        <v>68</v>
      </c>
      <c r="L146" s="44">
        <v>31.031999999999996</v>
      </c>
      <c r="M146" s="44">
        <v>0.62063999999999997</v>
      </c>
      <c r="N146" s="44">
        <v>30.411359999999995</v>
      </c>
    </row>
    <row r="147" spans="1:14" x14ac:dyDescent="0.3">
      <c r="A147" s="39" t="s">
        <v>53</v>
      </c>
      <c r="B147" s="39" t="s">
        <v>63</v>
      </c>
      <c r="C147" s="39" t="s">
        <v>152</v>
      </c>
      <c r="D147" s="39" t="s">
        <v>153</v>
      </c>
      <c r="E147" s="39" t="s">
        <v>8</v>
      </c>
      <c r="F147" s="39" t="s">
        <v>45</v>
      </c>
      <c r="G147" s="39" t="s">
        <v>66</v>
      </c>
      <c r="H147" s="39" t="s">
        <v>52</v>
      </c>
      <c r="I147" s="44">
        <v>109.48</v>
      </c>
      <c r="J147" s="44">
        <v>10.95</v>
      </c>
      <c r="K147" s="39" t="s">
        <v>68</v>
      </c>
      <c r="L147" s="44">
        <v>9.8550000000000004</v>
      </c>
      <c r="M147" s="44">
        <v>0.19710000000000003</v>
      </c>
      <c r="N147" s="44">
        <v>9.6578999999999997</v>
      </c>
    </row>
    <row r="148" spans="1:14" x14ac:dyDescent="0.3">
      <c r="A148" s="39" t="s">
        <v>53</v>
      </c>
      <c r="B148" s="39" t="s">
        <v>63</v>
      </c>
      <c r="C148" s="39" t="s">
        <v>154</v>
      </c>
      <c r="D148" s="39" t="s">
        <v>155</v>
      </c>
      <c r="E148" s="39" t="s">
        <v>8</v>
      </c>
      <c r="F148" s="39" t="s">
        <v>45</v>
      </c>
      <c r="G148" s="39" t="s">
        <v>66</v>
      </c>
      <c r="H148" s="39" t="s">
        <v>52</v>
      </c>
      <c r="I148" s="44">
        <v>87.59</v>
      </c>
      <c r="J148" s="44">
        <v>8.76</v>
      </c>
      <c r="K148" s="39" t="s">
        <v>68</v>
      </c>
      <c r="L148" s="44">
        <v>7.8840000000000003</v>
      </c>
      <c r="M148" s="44">
        <v>0.15768000000000001</v>
      </c>
      <c r="N148" s="44">
        <v>7.7263200000000003</v>
      </c>
    </row>
    <row r="149" spans="1:14" x14ac:dyDescent="0.3">
      <c r="A149" s="39" t="s">
        <v>53</v>
      </c>
      <c r="B149" s="39" t="s">
        <v>63</v>
      </c>
      <c r="C149" s="39" t="s">
        <v>156</v>
      </c>
      <c r="D149" s="39" t="s">
        <v>157</v>
      </c>
      <c r="E149" s="39" t="s">
        <v>8</v>
      </c>
      <c r="F149" s="39" t="s">
        <v>45</v>
      </c>
      <c r="G149" s="39" t="s">
        <v>66</v>
      </c>
      <c r="H149" s="39" t="s">
        <v>52</v>
      </c>
      <c r="I149" s="44">
        <v>109.48</v>
      </c>
      <c r="J149" s="44">
        <v>10.95</v>
      </c>
      <c r="K149" s="39" t="s">
        <v>68</v>
      </c>
      <c r="L149" s="44">
        <v>9.8550000000000004</v>
      </c>
      <c r="M149" s="44">
        <v>0.19710000000000003</v>
      </c>
      <c r="N149" s="44">
        <v>9.6578999999999997</v>
      </c>
    </row>
    <row r="150" spans="1:14" x14ac:dyDescent="0.3">
      <c r="A150" s="39" t="s">
        <v>53</v>
      </c>
      <c r="B150" s="39" t="s">
        <v>63</v>
      </c>
      <c r="C150" s="39" t="s">
        <v>158</v>
      </c>
      <c r="D150" s="39" t="s">
        <v>159</v>
      </c>
      <c r="E150" s="39" t="s">
        <v>8</v>
      </c>
      <c r="F150" s="39" t="s">
        <v>45</v>
      </c>
      <c r="G150" s="39" t="s">
        <v>66</v>
      </c>
      <c r="H150" s="39" t="s">
        <v>52</v>
      </c>
      <c r="I150" s="44">
        <v>109.57</v>
      </c>
      <c r="J150" s="44">
        <v>13.15</v>
      </c>
      <c r="K150" s="39" t="s">
        <v>68</v>
      </c>
      <c r="L150" s="44">
        <v>11.835000000000001</v>
      </c>
      <c r="M150" s="44">
        <v>0.23670000000000002</v>
      </c>
      <c r="N150" s="44">
        <v>11.5983</v>
      </c>
    </row>
    <row r="151" spans="1:14" x14ac:dyDescent="0.3">
      <c r="A151" s="39" t="s">
        <v>53</v>
      </c>
      <c r="B151" s="39" t="s">
        <v>63</v>
      </c>
      <c r="C151" s="39" t="s">
        <v>160</v>
      </c>
      <c r="D151" s="39" t="s">
        <v>161</v>
      </c>
      <c r="E151" s="39" t="s">
        <v>8</v>
      </c>
      <c r="F151" s="39" t="s">
        <v>47</v>
      </c>
      <c r="G151" s="39" t="s">
        <v>66</v>
      </c>
      <c r="H151" s="39" t="s">
        <v>52</v>
      </c>
      <c r="I151" s="44">
        <v>448.09</v>
      </c>
      <c r="J151" s="44">
        <v>116.5</v>
      </c>
      <c r="K151" s="39" t="s">
        <v>68</v>
      </c>
      <c r="L151" s="44">
        <v>104.85000000000001</v>
      </c>
      <c r="M151" s="44">
        <v>2.0970000000000004</v>
      </c>
      <c r="N151" s="44">
        <v>102.75300000000001</v>
      </c>
    </row>
    <row r="152" spans="1:14" x14ac:dyDescent="0.3">
      <c r="A152" s="39" t="s">
        <v>53</v>
      </c>
      <c r="B152" s="39" t="s">
        <v>63</v>
      </c>
      <c r="C152" s="39" t="s">
        <v>304</v>
      </c>
      <c r="D152" s="39" t="s">
        <v>305</v>
      </c>
      <c r="E152" s="39" t="s">
        <v>8</v>
      </c>
      <c r="F152" s="39" t="s">
        <v>47</v>
      </c>
      <c r="G152" s="39" t="s">
        <v>66</v>
      </c>
      <c r="H152" s="39" t="s">
        <v>52</v>
      </c>
      <c r="I152" s="44">
        <v>102.68</v>
      </c>
      <c r="J152" s="44">
        <v>26.7</v>
      </c>
      <c r="K152" s="39" t="s">
        <v>68</v>
      </c>
      <c r="L152" s="44">
        <v>24.03</v>
      </c>
      <c r="M152" s="44">
        <v>0.48060000000000003</v>
      </c>
      <c r="N152" s="44">
        <v>23.549400000000002</v>
      </c>
    </row>
    <row r="153" spans="1:14" x14ac:dyDescent="0.3">
      <c r="A153" s="39" t="s">
        <v>53</v>
      </c>
      <c r="B153" s="39" t="s">
        <v>63</v>
      </c>
      <c r="C153" s="39" t="s">
        <v>162</v>
      </c>
      <c r="D153" s="39" t="s">
        <v>163</v>
      </c>
      <c r="E153" s="39" t="s">
        <v>8</v>
      </c>
      <c r="F153" s="39" t="s">
        <v>45</v>
      </c>
      <c r="G153" s="39" t="s">
        <v>66</v>
      </c>
      <c r="H153" s="39" t="s">
        <v>52</v>
      </c>
      <c r="I153" s="44">
        <v>88.75</v>
      </c>
      <c r="J153" s="44">
        <v>10.65</v>
      </c>
      <c r="K153" s="39" t="s">
        <v>68</v>
      </c>
      <c r="L153" s="44">
        <v>9.5850000000000009</v>
      </c>
      <c r="M153" s="44">
        <v>0.19170000000000001</v>
      </c>
      <c r="N153" s="44">
        <v>9.3933</v>
      </c>
    </row>
    <row r="154" spans="1:14" x14ac:dyDescent="0.3">
      <c r="A154" s="39" t="s">
        <v>53</v>
      </c>
      <c r="B154" s="39" t="s">
        <v>63</v>
      </c>
      <c r="C154" s="39" t="s">
        <v>164</v>
      </c>
      <c r="D154" s="39" t="s">
        <v>165</v>
      </c>
      <c r="E154" s="39" t="s">
        <v>8</v>
      </c>
      <c r="F154" s="39" t="s">
        <v>45</v>
      </c>
      <c r="G154" s="39" t="s">
        <v>66</v>
      </c>
      <c r="H154" s="39" t="s">
        <v>52</v>
      </c>
      <c r="I154" s="44">
        <v>88.42</v>
      </c>
      <c r="J154" s="44">
        <v>10.61</v>
      </c>
      <c r="K154" s="39" t="s">
        <v>68</v>
      </c>
      <c r="L154" s="44">
        <v>9.5489999999999995</v>
      </c>
      <c r="M154" s="44">
        <v>0.19097999999999998</v>
      </c>
      <c r="N154" s="44">
        <v>9.3580199999999998</v>
      </c>
    </row>
    <row r="155" spans="1:14" x14ac:dyDescent="0.3">
      <c r="A155" s="39" t="s">
        <v>53</v>
      </c>
      <c r="B155" s="39" t="s">
        <v>63</v>
      </c>
      <c r="C155" s="39" t="s">
        <v>306</v>
      </c>
      <c r="D155" s="39" t="s">
        <v>307</v>
      </c>
      <c r="E155" s="39" t="s">
        <v>8</v>
      </c>
      <c r="F155" s="39" t="s">
        <v>45</v>
      </c>
      <c r="G155" s="39" t="s">
        <v>66</v>
      </c>
      <c r="H155" s="39" t="s">
        <v>52</v>
      </c>
      <c r="I155" s="44">
        <v>288.22000000000003</v>
      </c>
      <c r="J155" s="44">
        <v>74.94</v>
      </c>
      <c r="K155" s="39" t="s">
        <v>68</v>
      </c>
      <c r="L155" s="44">
        <v>67.445999999999998</v>
      </c>
      <c r="M155" s="44">
        <v>1.3489199999999999</v>
      </c>
      <c r="N155" s="44">
        <v>66.097079999999991</v>
      </c>
    </row>
    <row r="156" spans="1:14" x14ac:dyDescent="0.3">
      <c r="A156" s="39" t="s">
        <v>53</v>
      </c>
      <c r="B156" s="39" t="s">
        <v>63</v>
      </c>
      <c r="C156" s="39" t="s">
        <v>306</v>
      </c>
      <c r="D156" s="39" t="s">
        <v>307</v>
      </c>
      <c r="E156" s="39" t="s">
        <v>8</v>
      </c>
      <c r="F156" s="39" t="s">
        <v>45</v>
      </c>
      <c r="G156" s="39" t="s">
        <v>66</v>
      </c>
      <c r="H156" s="39" t="s">
        <v>52</v>
      </c>
      <c r="I156" s="44">
        <v>288.22000000000003</v>
      </c>
      <c r="J156" s="44">
        <v>74.94</v>
      </c>
      <c r="K156" s="39" t="s">
        <v>68</v>
      </c>
      <c r="L156" s="44">
        <v>67.445999999999998</v>
      </c>
      <c r="M156" s="44">
        <v>1.3489199999999999</v>
      </c>
      <c r="N156" s="44">
        <v>66.097079999999991</v>
      </c>
    </row>
    <row r="157" spans="1:14" x14ac:dyDescent="0.3">
      <c r="A157" s="39" t="s">
        <v>53</v>
      </c>
      <c r="B157" s="39" t="s">
        <v>63</v>
      </c>
      <c r="C157" s="39" t="s">
        <v>306</v>
      </c>
      <c r="D157" s="39" t="s">
        <v>307</v>
      </c>
      <c r="E157" s="39" t="s">
        <v>8</v>
      </c>
      <c r="F157" s="39" t="s">
        <v>45</v>
      </c>
      <c r="G157" s="39" t="s">
        <v>66</v>
      </c>
      <c r="H157" s="39" t="s">
        <v>52</v>
      </c>
      <c r="I157" s="44">
        <v>288.22000000000003</v>
      </c>
      <c r="J157" s="44">
        <v>74.94</v>
      </c>
      <c r="K157" s="39" t="s">
        <v>68</v>
      </c>
      <c r="L157" s="44">
        <v>67.445999999999998</v>
      </c>
      <c r="M157" s="44">
        <v>1.3489199999999999</v>
      </c>
      <c r="N157" s="44">
        <v>66.097079999999991</v>
      </c>
    </row>
    <row r="158" spans="1:14" x14ac:dyDescent="0.3">
      <c r="A158" s="39" t="s">
        <v>53</v>
      </c>
      <c r="B158" s="39" t="s">
        <v>63</v>
      </c>
      <c r="C158" s="39" t="s">
        <v>306</v>
      </c>
      <c r="D158" s="39" t="s">
        <v>307</v>
      </c>
      <c r="E158" s="39" t="s">
        <v>8</v>
      </c>
      <c r="F158" s="39" t="s">
        <v>45</v>
      </c>
      <c r="G158" s="39" t="s">
        <v>66</v>
      </c>
      <c r="H158" s="39" t="s">
        <v>52</v>
      </c>
      <c r="I158" s="44">
        <v>288.22000000000003</v>
      </c>
      <c r="J158" s="44">
        <v>74.94</v>
      </c>
      <c r="K158" s="39" t="s">
        <v>68</v>
      </c>
      <c r="L158" s="44">
        <v>67.445999999999998</v>
      </c>
      <c r="M158" s="44">
        <v>1.3489199999999999</v>
      </c>
      <c r="N158" s="44">
        <v>66.097079999999991</v>
      </c>
    </row>
    <row r="159" spans="1:14" x14ac:dyDescent="0.3">
      <c r="A159" s="39" t="s">
        <v>53</v>
      </c>
      <c r="B159" s="39" t="s">
        <v>63</v>
      </c>
      <c r="C159" s="39" t="s">
        <v>308</v>
      </c>
      <c r="D159" s="39" t="s">
        <v>309</v>
      </c>
      <c r="E159" s="39" t="s">
        <v>8</v>
      </c>
      <c r="F159" s="39" t="s">
        <v>45</v>
      </c>
      <c r="G159" s="39" t="s">
        <v>66</v>
      </c>
      <c r="H159" s="39" t="s">
        <v>52</v>
      </c>
      <c r="I159" s="44">
        <v>952.64</v>
      </c>
      <c r="J159" s="44">
        <v>247.69</v>
      </c>
      <c r="K159" s="39" t="s">
        <v>68</v>
      </c>
      <c r="L159" s="44">
        <v>222.92099999999999</v>
      </c>
      <c r="M159" s="44">
        <v>4.4584200000000003</v>
      </c>
      <c r="N159" s="44">
        <v>218.46258</v>
      </c>
    </row>
    <row r="160" spans="1:14" x14ac:dyDescent="0.3">
      <c r="A160" s="39" t="s">
        <v>53</v>
      </c>
      <c r="B160" s="39" t="s">
        <v>63</v>
      </c>
      <c r="C160" s="39" t="s">
        <v>310</v>
      </c>
      <c r="D160" s="39" t="s">
        <v>311</v>
      </c>
      <c r="E160" s="39" t="s">
        <v>8</v>
      </c>
      <c r="F160" s="39" t="s">
        <v>47</v>
      </c>
      <c r="G160" s="39" t="s">
        <v>66</v>
      </c>
      <c r="H160" s="39" t="s">
        <v>52</v>
      </c>
      <c r="I160" s="44">
        <v>605.35</v>
      </c>
      <c r="J160" s="44">
        <v>96.86</v>
      </c>
      <c r="K160" s="39" t="s">
        <v>68</v>
      </c>
      <c r="L160" s="44">
        <v>87.174000000000007</v>
      </c>
      <c r="M160" s="44">
        <v>1.7434800000000001</v>
      </c>
      <c r="N160" s="44">
        <v>85.430520000000001</v>
      </c>
    </row>
    <row r="161" spans="1:14" x14ac:dyDescent="0.3">
      <c r="A161" s="39" t="s">
        <v>53</v>
      </c>
      <c r="B161" s="39" t="s">
        <v>63</v>
      </c>
      <c r="C161" s="39" t="s">
        <v>312</v>
      </c>
      <c r="D161" s="39" t="s">
        <v>313</v>
      </c>
      <c r="E161" s="39" t="s">
        <v>8</v>
      </c>
      <c r="F161" s="39" t="s">
        <v>47</v>
      </c>
      <c r="G161" s="39" t="s">
        <v>66</v>
      </c>
      <c r="H161" s="39" t="s">
        <v>52</v>
      </c>
      <c r="I161" s="44">
        <v>2756.59</v>
      </c>
      <c r="J161" s="44">
        <v>441.05</v>
      </c>
      <c r="K161" s="39" t="s">
        <v>68</v>
      </c>
      <c r="L161" s="44">
        <v>396.94499999999999</v>
      </c>
      <c r="M161" s="44">
        <v>7.9389000000000003</v>
      </c>
      <c r="N161" s="44">
        <v>389.0061</v>
      </c>
    </row>
    <row r="162" spans="1:14" x14ac:dyDescent="0.3">
      <c r="A162" s="39" t="s">
        <v>53</v>
      </c>
      <c r="B162" s="39" t="s">
        <v>63</v>
      </c>
      <c r="C162" s="39" t="s">
        <v>314</v>
      </c>
      <c r="D162" s="39" t="s">
        <v>315</v>
      </c>
      <c r="E162" s="39" t="s">
        <v>8</v>
      </c>
      <c r="F162" s="39" t="s">
        <v>45</v>
      </c>
      <c r="G162" s="39" t="s">
        <v>66</v>
      </c>
      <c r="H162" s="39" t="s">
        <v>52</v>
      </c>
      <c r="I162" s="44">
        <v>48.81</v>
      </c>
      <c r="J162" s="44">
        <v>8.2899999999999991</v>
      </c>
      <c r="K162" s="39" t="s">
        <v>68</v>
      </c>
      <c r="L162" s="44">
        <v>7.4609999999999994</v>
      </c>
      <c r="M162" s="44">
        <v>0.14921999999999999</v>
      </c>
      <c r="N162" s="44">
        <v>7.3117799999999997</v>
      </c>
    </row>
    <row r="163" spans="1:14" x14ac:dyDescent="0.3">
      <c r="A163" s="39" t="s">
        <v>53</v>
      </c>
      <c r="B163" s="39" t="s">
        <v>63</v>
      </c>
      <c r="C163" s="39" t="s">
        <v>316</v>
      </c>
      <c r="D163" s="39" t="s">
        <v>317</v>
      </c>
      <c r="E163" s="39" t="s">
        <v>8</v>
      </c>
      <c r="F163" s="39" t="s">
        <v>45</v>
      </c>
      <c r="G163" s="39" t="s">
        <v>66</v>
      </c>
      <c r="H163" s="39" t="s">
        <v>52</v>
      </c>
      <c r="I163" s="44">
        <v>38.14</v>
      </c>
      <c r="J163" s="44">
        <v>6.48</v>
      </c>
      <c r="K163" s="39" t="s">
        <v>68</v>
      </c>
      <c r="L163" s="44">
        <v>5.8320000000000007</v>
      </c>
      <c r="M163" s="44">
        <v>0.11664000000000002</v>
      </c>
      <c r="N163" s="44">
        <v>5.7153600000000004</v>
      </c>
    </row>
    <row r="164" spans="1:14" x14ac:dyDescent="0.3">
      <c r="A164" s="39" t="s">
        <v>53</v>
      </c>
      <c r="B164" s="39" t="s">
        <v>63</v>
      </c>
      <c r="C164" s="39" t="s">
        <v>318</v>
      </c>
      <c r="D164" s="39" t="s">
        <v>319</v>
      </c>
      <c r="E164" s="39" t="s">
        <v>8</v>
      </c>
      <c r="F164" s="39" t="s">
        <v>45</v>
      </c>
      <c r="G164" s="39" t="s">
        <v>66</v>
      </c>
      <c r="H164" s="39" t="s">
        <v>52</v>
      </c>
      <c r="I164" s="44">
        <v>38.14</v>
      </c>
      <c r="J164" s="44">
        <v>6.48</v>
      </c>
      <c r="K164" s="39" t="s">
        <v>68</v>
      </c>
      <c r="L164" s="44">
        <v>5.8320000000000007</v>
      </c>
      <c r="M164" s="44">
        <v>0.11664000000000002</v>
      </c>
      <c r="N164" s="44">
        <v>5.7153600000000004</v>
      </c>
    </row>
    <row r="165" spans="1:14" x14ac:dyDescent="0.3">
      <c r="A165" s="39" t="s">
        <v>53</v>
      </c>
      <c r="B165" s="39" t="s">
        <v>63</v>
      </c>
      <c r="C165" s="39" t="s">
        <v>320</v>
      </c>
      <c r="D165" s="39" t="s">
        <v>321</v>
      </c>
      <c r="E165" s="39" t="s">
        <v>8</v>
      </c>
      <c r="F165" s="39" t="s">
        <v>45</v>
      </c>
      <c r="G165" s="39" t="s">
        <v>66</v>
      </c>
      <c r="H165" s="39" t="s">
        <v>52</v>
      </c>
      <c r="I165" s="44">
        <v>47.98</v>
      </c>
      <c r="J165" s="44">
        <v>8.15</v>
      </c>
      <c r="K165" s="39" t="s">
        <v>68</v>
      </c>
      <c r="L165" s="44">
        <v>7.3350000000000009</v>
      </c>
      <c r="M165" s="44">
        <v>0.14670000000000002</v>
      </c>
      <c r="N165" s="44">
        <v>7.1883000000000008</v>
      </c>
    </row>
    <row r="166" spans="1:14" x14ac:dyDescent="0.3">
      <c r="A166" s="39" t="s">
        <v>53</v>
      </c>
      <c r="B166" s="39" t="s">
        <v>63</v>
      </c>
      <c r="C166" s="39" t="s">
        <v>322</v>
      </c>
      <c r="D166" s="39" t="s">
        <v>323</v>
      </c>
      <c r="E166" s="39" t="s">
        <v>8</v>
      </c>
      <c r="F166" s="39" t="s">
        <v>45</v>
      </c>
      <c r="G166" s="39" t="s">
        <v>66</v>
      </c>
      <c r="H166" s="39" t="s">
        <v>52</v>
      </c>
      <c r="I166" s="44">
        <v>47.98</v>
      </c>
      <c r="J166" s="44">
        <v>8.15</v>
      </c>
      <c r="K166" s="39" t="s">
        <v>68</v>
      </c>
      <c r="L166" s="44">
        <v>7.3350000000000009</v>
      </c>
      <c r="M166" s="44">
        <v>0.14670000000000002</v>
      </c>
      <c r="N166" s="44">
        <v>7.1883000000000008</v>
      </c>
    </row>
    <row r="167" spans="1:14" x14ac:dyDescent="0.3">
      <c r="A167" s="39" t="s">
        <v>53</v>
      </c>
      <c r="B167" s="39" t="s">
        <v>63</v>
      </c>
      <c r="C167" s="39" t="s">
        <v>324</v>
      </c>
      <c r="D167" s="39" t="s">
        <v>325</v>
      </c>
      <c r="E167" s="39" t="s">
        <v>8</v>
      </c>
      <c r="F167" s="39" t="s">
        <v>45</v>
      </c>
      <c r="G167" s="39" t="s">
        <v>66</v>
      </c>
      <c r="H167" s="39" t="s">
        <v>52</v>
      </c>
      <c r="I167" s="44">
        <v>108.63</v>
      </c>
      <c r="J167" s="44">
        <v>18.46</v>
      </c>
      <c r="K167" s="39" t="s">
        <v>68</v>
      </c>
      <c r="L167" s="44">
        <v>16.614000000000001</v>
      </c>
      <c r="M167" s="44">
        <v>0.33228000000000002</v>
      </c>
      <c r="N167" s="44">
        <v>16.28172</v>
      </c>
    </row>
    <row r="168" spans="1:14" x14ac:dyDescent="0.3">
      <c r="A168" s="39" t="s">
        <v>53</v>
      </c>
      <c r="B168" s="39" t="s">
        <v>63</v>
      </c>
      <c r="C168" s="39" t="s">
        <v>326</v>
      </c>
      <c r="D168" s="39" t="s">
        <v>327</v>
      </c>
      <c r="E168" s="39" t="s">
        <v>8</v>
      </c>
      <c r="F168" s="39" t="s">
        <v>45</v>
      </c>
      <c r="G168" s="39" t="s">
        <v>66</v>
      </c>
      <c r="H168" s="39" t="s">
        <v>52</v>
      </c>
      <c r="I168" s="44">
        <v>108.63</v>
      </c>
      <c r="J168" s="44">
        <v>18.46</v>
      </c>
      <c r="K168" s="39" t="s">
        <v>68</v>
      </c>
      <c r="L168" s="44">
        <v>16.614000000000001</v>
      </c>
      <c r="M168" s="44">
        <v>0.33228000000000002</v>
      </c>
      <c r="N168" s="44">
        <v>16.28172</v>
      </c>
    </row>
    <row r="169" spans="1:14" x14ac:dyDescent="0.3">
      <c r="A169" s="39" t="s">
        <v>53</v>
      </c>
      <c r="B169" s="39" t="s">
        <v>63</v>
      </c>
      <c r="C169" s="39" t="s">
        <v>160</v>
      </c>
      <c r="D169" s="39" t="s">
        <v>161</v>
      </c>
      <c r="E169" s="39" t="s">
        <v>8</v>
      </c>
      <c r="F169" s="39" t="s">
        <v>47</v>
      </c>
      <c r="G169" s="39" t="s">
        <v>66</v>
      </c>
      <c r="H169" s="39" t="s">
        <v>52</v>
      </c>
      <c r="I169" s="44">
        <v>-155.05000000000001</v>
      </c>
      <c r="J169" s="44">
        <v>-40.31</v>
      </c>
      <c r="K169" s="39" t="s">
        <v>68</v>
      </c>
      <c r="L169" s="44">
        <v>-36.279000000000003</v>
      </c>
      <c r="M169" s="44">
        <v>-0.72558000000000011</v>
      </c>
      <c r="N169" s="44">
        <v>-35.553420000000003</v>
      </c>
    </row>
    <row r="170" spans="1:14" x14ac:dyDescent="0.3">
      <c r="A170" s="39" t="s">
        <v>53</v>
      </c>
      <c r="B170" s="39" t="s">
        <v>63</v>
      </c>
      <c r="C170" s="39" t="s">
        <v>304</v>
      </c>
      <c r="D170" s="39" t="s">
        <v>305</v>
      </c>
      <c r="E170" s="39" t="s">
        <v>8</v>
      </c>
      <c r="F170" s="39" t="s">
        <v>47</v>
      </c>
      <c r="G170" s="39" t="s">
        <v>66</v>
      </c>
      <c r="H170" s="39" t="s">
        <v>52</v>
      </c>
      <c r="I170" s="44">
        <v>-27.91</v>
      </c>
      <c r="J170" s="44">
        <v>-7.26</v>
      </c>
      <c r="K170" s="39" t="s">
        <v>68</v>
      </c>
      <c r="L170" s="44">
        <v>-6.5339999999999998</v>
      </c>
      <c r="M170" s="44">
        <v>-0.13067999999999999</v>
      </c>
      <c r="N170" s="44">
        <v>-6.4033199999999999</v>
      </c>
    </row>
    <row r="171" spans="1:14" x14ac:dyDescent="0.3">
      <c r="A171" s="39" t="s">
        <v>44</v>
      </c>
      <c r="B171" s="39" t="s">
        <v>62</v>
      </c>
      <c r="C171" s="39" t="s">
        <v>328</v>
      </c>
      <c r="D171" s="39" t="s">
        <v>329</v>
      </c>
      <c r="E171" s="39" t="s">
        <v>69</v>
      </c>
      <c r="F171" s="39" t="s">
        <v>47</v>
      </c>
      <c r="G171" s="39" t="s">
        <v>65</v>
      </c>
      <c r="H171" s="39" t="s">
        <v>52</v>
      </c>
      <c r="I171" s="44">
        <v>51.84</v>
      </c>
      <c r="J171" s="44">
        <v>7.26</v>
      </c>
      <c r="K171" s="39" t="s">
        <v>68</v>
      </c>
      <c r="L171" s="44">
        <v>6.5339999999999998</v>
      </c>
      <c r="M171" s="44">
        <v>0.13067999999999999</v>
      </c>
      <c r="N171" s="44">
        <v>6.4033199999999999</v>
      </c>
    </row>
    <row r="172" spans="1:14" x14ac:dyDescent="0.3">
      <c r="A172" s="39" t="s">
        <v>44</v>
      </c>
      <c r="B172" s="39" t="s">
        <v>62</v>
      </c>
      <c r="C172" s="39" t="s">
        <v>328</v>
      </c>
      <c r="D172" s="39" t="s">
        <v>329</v>
      </c>
      <c r="E172" s="39" t="s">
        <v>69</v>
      </c>
      <c r="F172" s="39" t="s">
        <v>47</v>
      </c>
      <c r="G172" s="39" t="s">
        <v>65</v>
      </c>
      <c r="H172" s="39" t="s">
        <v>52</v>
      </c>
      <c r="I172" s="44">
        <v>0.28999999999999998</v>
      </c>
      <c r="J172" s="44">
        <v>0.04</v>
      </c>
      <c r="K172" s="39" t="s">
        <v>68</v>
      </c>
      <c r="L172" s="44">
        <v>3.6000000000000004E-2</v>
      </c>
      <c r="M172" s="44">
        <v>7.2000000000000005E-4</v>
      </c>
      <c r="N172" s="44">
        <v>3.5280000000000006E-2</v>
      </c>
    </row>
    <row r="173" spans="1:14" x14ac:dyDescent="0.3">
      <c r="A173" s="39" t="s">
        <v>44</v>
      </c>
      <c r="B173" s="39" t="s">
        <v>62</v>
      </c>
      <c r="C173" s="39" t="s">
        <v>330</v>
      </c>
      <c r="D173" s="39" t="s">
        <v>331</v>
      </c>
      <c r="E173" s="39" t="s">
        <v>73</v>
      </c>
      <c r="F173" s="39" t="s">
        <v>45</v>
      </c>
      <c r="G173" s="39" t="s">
        <v>65</v>
      </c>
      <c r="H173" s="39" t="s">
        <v>52</v>
      </c>
      <c r="I173" s="44">
        <v>27.2</v>
      </c>
      <c r="J173" s="44">
        <v>4.9000000000000004</v>
      </c>
      <c r="K173" s="39" t="s">
        <v>68</v>
      </c>
      <c r="L173" s="44">
        <v>4.41</v>
      </c>
      <c r="M173" s="44">
        <v>8.8200000000000001E-2</v>
      </c>
      <c r="N173" s="44">
        <v>4.3218000000000005</v>
      </c>
    </row>
    <row r="174" spans="1:14" x14ac:dyDescent="0.3">
      <c r="A174" s="39" t="s">
        <v>44</v>
      </c>
      <c r="B174" s="39" t="s">
        <v>62</v>
      </c>
      <c r="C174" s="39" t="s">
        <v>332</v>
      </c>
      <c r="D174" s="39" t="s">
        <v>331</v>
      </c>
      <c r="E174" s="39" t="s">
        <v>73</v>
      </c>
      <c r="F174" s="39" t="s">
        <v>45</v>
      </c>
      <c r="G174" s="39" t="s">
        <v>65</v>
      </c>
      <c r="H174" s="39" t="s">
        <v>52</v>
      </c>
      <c r="I174" s="44">
        <v>21.32</v>
      </c>
      <c r="J174" s="44">
        <v>3.84</v>
      </c>
      <c r="K174" s="39" t="s">
        <v>68</v>
      </c>
      <c r="L174" s="44">
        <v>3.456</v>
      </c>
      <c r="M174" s="44">
        <v>6.9120000000000001E-2</v>
      </c>
      <c r="N174" s="44">
        <v>3.3868800000000001</v>
      </c>
    </row>
    <row r="175" spans="1:14" x14ac:dyDescent="0.3">
      <c r="A175" s="39" t="s">
        <v>44</v>
      </c>
      <c r="B175" s="39" t="s">
        <v>62</v>
      </c>
      <c r="C175" s="39" t="s">
        <v>333</v>
      </c>
      <c r="D175" s="39" t="s">
        <v>95</v>
      </c>
      <c r="E175" s="39" t="s">
        <v>73</v>
      </c>
      <c r="F175" s="39" t="s">
        <v>50</v>
      </c>
      <c r="G175" s="39" t="s">
        <v>65</v>
      </c>
      <c r="H175" s="39" t="s">
        <v>52</v>
      </c>
      <c r="I175" s="44">
        <v>72.13</v>
      </c>
      <c r="J175" s="44">
        <v>12.98</v>
      </c>
      <c r="K175" s="39" t="s">
        <v>68</v>
      </c>
      <c r="L175" s="44">
        <v>11.682</v>
      </c>
      <c r="M175" s="44">
        <v>0.23364000000000001</v>
      </c>
      <c r="N175" s="44">
        <v>11.448360000000001</v>
      </c>
    </row>
    <row r="176" spans="1:14" x14ac:dyDescent="0.3">
      <c r="A176" s="39" t="s">
        <v>44</v>
      </c>
      <c r="B176" s="39" t="s">
        <v>62</v>
      </c>
      <c r="C176" s="39" t="s">
        <v>334</v>
      </c>
      <c r="D176" s="39" t="s">
        <v>70</v>
      </c>
      <c r="E176" s="39" t="s">
        <v>64</v>
      </c>
      <c r="F176" s="39" t="s">
        <v>50</v>
      </c>
      <c r="G176" s="39" t="s">
        <v>65</v>
      </c>
      <c r="H176" s="39" t="s">
        <v>52</v>
      </c>
      <c r="I176" s="44">
        <v>66.44</v>
      </c>
      <c r="J176" s="44">
        <v>13.96</v>
      </c>
      <c r="K176" s="39" t="s">
        <v>68</v>
      </c>
      <c r="L176" s="44">
        <v>12.564000000000002</v>
      </c>
      <c r="M176" s="44">
        <v>0.25128000000000006</v>
      </c>
      <c r="N176" s="44">
        <v>12.312720000000002</v>
      </c>
    </row>
    <row r="177" spans="1:14" x14ac:dyDescent="0.3">
      <c r="A177" s="39" t="s">
        <v>44</v>
      </c>
      <c r="B177" s="39" t="s">
        <v>62</v>
      </c>
      <c r="C177" s="39" t="s">
        <v>335</v>
      </c>
      <c r="D177" s="39" t="s">
        <v>336</v>
      </c>
      <c r="E177" s="39" t="s">
        <v>49</v>
      </c>
      <c r="F177" s="39" t="s">
        <v>45</v>
      </c>
      <c r="G177" s="39" t="s">
        <v>65</v>
      </c>
      <c r="H177" s="39" t="s">
        <v>52</v>
      </c>
      <c r="I177" s="44">
        <v>83.02</v>
      </c>
      <c r="J177" s="44">
        <v>10.79</v>
      </c>
      <c r="K177" s="39" t="s">
        <v>68</v>
      </c>
      <c r="L177" s="44">
        <v>9.7110000000000003</v>
      </c>
      <c r="M177" s="44">
        <v>0.19422</v>
      </c>
      <c r="N177" s="44">
        <v>9.5167800000000007</v>
      </c>
    </row>
    <row r="178" spans="1:14" x14ac:dyDescent="0.3">
      <c r="A178" s="39" t="s">
        <v>44</v>
      </c>
      <c r="B178" s="39" t="s">
        <v>62</v>
      </c>
      <c r="C178" s="39" t="s">
        <v>335</v>
      </c>
      <c r="D178" s="39" t="s">
        <v>48</v>
      </c>
      <c r="E178" s="39" t="s">
        <v>49</v>
      </c>
      <c r="F178" s="39" t="s">
        <v>45</v>
      </c>
      <c r="G178" s="39" t="s">
        <v>65</v>
      </c>
      <c r="H178" s="39" t="s">
        <v>52</v>
      </c>
      <c r="I178" s="44">
        <v>8.2200000000000006</v>
      </c>
      <c r="J178" s="44">
        <v>1.07</v>
      </c>
      <c r="K178" s="39" t="s">
        <v>68</v>
      </c>
      <c r="L178" s="44">
        <v>0.96300000000000008</v>
      </c>
      <c r="M178" s="44">
        <v>1.9260000000000003E-2</v>
      </c>
      <c r="N178" s="44">
        <v>0.94374000000000002</v>
      </c>
    </row>
    <row r="179" spans="1:14" x14ac:dyDescent="0.3">
      <c r="J179" s="50" t="s">
        <v>4</v>
      </c>
      <c r="K179" s="50"/>
      <c r="L179" s="50">
        <f>SUM(L63:L178)</f>
        <v>10258.587</v>
      </c>
      <c r="M179" s="50"/>
      <c r="N179" s="50"/>
    </row>
    <row r="180" spans="1:14" x14ac:dyDescent="0.3">
      <c r="J180" s="50" t="s">
        <v>5</v>
      </c>
      <c r="K180" s="50"/>
      <c r="L180" s="50">
        <f>+L179*13%</f>
        <v>1333.6163099999999</v>
      </c>
      <c r="M180" s="50"/>
      <c r="N180" s="50"/>
    </row>
    <row r="181" spans="1:14" x14ac:dyDescent="0.3">
      <c r="J181" s="51" t="s">
        <v>2</v>
      </c>
      <c r="K181" s="51"/>
      <c r="L181" s="51">
        <f>+L179+L180</f>
        <v>11592.203309999999</v>
      </c>
      <c r="M181" s="51"/>
      <c r="N181" s="51"/>
    </row>
    <row r="182" spans="1:14" x14ac:dyDescent="0.3">
      <c r="J182" s="50" t="s">
        <v>6</v>
      </c>
      <c r="K182" s="50"/>
      <c r="L182" s="50">
        <f>+L179*2%</f>
        <v>205.17174</v>
      </c>
      <c r="M182" s="50"/>
      <c r="N182" s="50"/>
    </row>
    <row r="183" spans="1:14" x14ac:dyDescent="0.3">
      <c r="J183" s="50" t="s">
        <v>1</v>
      </c>
      <c r="K183" s="50"/>
      <c r="L183" s="50">
        <f>+L181-L182</f>
        <v>11387.031569999999</v>
      </c>
      <c r="M183" s="50"/>
      <c r="N183" s="50"/>
    </row>
  </sheetData>
  <mergeCells count="20">
    <mergeCell ref="J183:K183"/>
    <mergeCell ref="L183:N183"/>
    <mergeCell ref="J57:K57"/>
    <mergeCell ref="L57:N57"/>
    <mergeCell ref="J58:K58"/>
    <mergeCell ref="L58:N58"/>
    <mergeCell ref="J59:K59"/>
    <mergeCell ref="L59:N59"/>
    <mergeCell ref="J180:K180"/>
    <mergeCell ref="L180:N180"/>
    <mergeCell ref="J181:K181"/>
    <mergeCell ref="L181:N181"/>
    <mergeCell ref="J182:K182"/>
    <mergeCell ref="L182:N182"/>
    <mergeCell ref="J55:K55"/>
    <mergeCell ref="L55:N55"/>
    <mergeCell ref="J56:K56"/>
    <mergeCell ref="L56:N56"/>
    <mergeCell ref="J179:K179"/>
    <mergeCell ref="L179:N179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O24"/>
  <sheetViews>
    <sheetView tabSelected="1" workbookViewId="0">
      <selection activeCell="H22" sqref="H22"/>
    </sheetView>
  </sheetViews>
  <sheetFormatPr defaultColWidth="11.44140625" defaultRowHeight="14.4" x14ac:dyDescent="0.3"/>
  <cols>
    <col min="5" max="5" width="19.6640625" bestFit="1" customWidth="1"/>
    <col min="6" max="6" width="15.88671875" bestFit="1" customWidth="1"/>
    <col min="7" max="7" width="12.5546875" customWidth="1"/>
    <col min="8" max="8" width="15.88671875" bestFit="1" customWidth="1"/>
    <col min="11" max="11" width="31.6640625" bestFit="1" customWidth="1"/>
    <col min="12" max="12" width="13.44140625" bestFit="1" customWidth="1"/>
  </cols>
  <sheetData>
    <row r="4" spans="2:15" x14ac:dyDescent="0.3">
      <c r="B4" s="55" t="s">
        <v>337</v>
      </c>
      <c r="C4" s="56"/>
      <c r="D4" s="56"/>
      <c r="E4" s="56"/>
      <c r="F4" s="57"/>
      <c r="H4" s="55" t="str">
        <f>+B4</f>
        <v>RESUMEN DE PAGOS - IQ Julio</v>
      </c>
      <c r="I4" s="56"/>
      <c r="J4" s="56"/>
      <c r="K4" s="56"/>
      <c r="L4" s="57"/>
    </row>
    <row r="5" spans="2:15" x14ac:dyDescent="0.3">
      <c r="B5" s="58"/>
      <c r="C5" s="59"/>
      <c r="D5" s="59"/>
      <c r="E5" s="59"/>
      <c r="F5" s="60"/>
      <c r="H5" s="58"/>
      <c r="I5" s="59"/>
      <c r="J5" s="59"/>
      <c r="K5" s="59"/>
      <c r="L5" s="60"/>
    </row>
    <row r="6" spans="2:15" x14ac:dyDescent="0.3">
      <c r="B6" s="61" t="s">
        <v>0</v>
      </c>
      <c r="C6" s="63"/>
      <c r="D6" s="62"/>
      <c r="E6" s="61" t="s">
        <v>3</v>
      </c>
      <c r="F6" s="62"/>
      <c r="H6" s="61" t="s">
        <v>0</v>
      </c>
      <c r="I6" s="63"/>
      <c r="J6" s="62"/>
      <c r="K6" s="61" t="s">
        <v>7</v>
      </c>
      <c r="L6" s="62"/>
    </row>
    <row r="7" spans="2:15" x14ac:dyDescent="0.3">
      <c r="B7" s="52" t="s">
        <v>9</v>
      </c>
      <c r="C7" s="52"/>
      <c r="D7" s="52"/>
      <c r="E7" s="1" t="s">
        <v>4</v>
      </c>
      <c r="F7" s="2">
        <f>Detalle!L55</f>
        <v>381710.6550000002</v>
      </c>
      <c r="H7" s="52" t="s">
        <v>9</v>
      </c>
      <c r="I7" s="52"/>
      <c r="J7" s="52"/>
      <c r="K7" s="1" t="s">
        <v>4</v>
      </c>
      <c r="L7" s="2">
        <f>Detalle!L179</f>
        <v>10258.587</v>
      </c>
    </row>
    <row r="8" spans="2:15" x14ac:dyDescent="0.3">
      <c r="B8" s="53"/>
      <c r="C8" s="53"/>
      <c r="D8" s="53"/>
      <c r="E8" s="3" t="s">
        <v>10</v>
      </c>
      <c r="F8" s="4">
        <f>F7</f>
        <v>381710.6550000002</v>
      </c>
      <c r="H8" s="53"/>
      <c r="I8" s="53"/>
      <c r="J8" s="53"/>
      <c r="K8" s="3" t="s">
        <v>71</v>
      </c>
      <c r="L8" s="4">
        <f>REBAJO!D12</f>
        <v>3988.5728813352821</v>
      </c>
      <c r="M8" s="5"/>
    </row>
    <row r="9" spans="2:15" x14ac:dyDescent="0.3">
      <c r="B9" s="53"/>
      <c r="C9" s="53"/>
      <c r="D9" s="53"/>
      <c r="E9" t="s">
        <v>11</v>
      </c>
      <c r="F9" s="2">
        <f>+F7-F8</f>
        <v>0</v>
      </c>
      <c r="H9" s="53"/>
      <c r="I9" s="53"/>
      <c r="J9" s="53"/>
      <c r="K9" s="3" t="s">
        <v>338</v>
      </c>
      <c r="L9" s="45">
        <f>50000/452.51</f>
        <v>110.49479569512276</v>
      </c>
      <c r="N9" s="5"/>
    </row>
    <row r="10" spans="2:15" x14ac:dyDescent="0.3">
      <c r="B10" s="53"/>
      <c r="C10" s="53"/>
      <c r="D10" s="53"/>
      <c r="E10" s="1" t="s">
        <v>5</v>
      </c>
      <c r="F10" s="2">
        <f>+F9*13%</f>
        <v>0</v>
      </c>
      <c r="H10" s="53"/>
      <c r="I10" s="53"/>
      <c r="J10" s="53"/>
      <c r="K10" s="46" t="s">
        <v>26</v>
      </c>
      <c r="L10" s="43">
        <f>L7-L8-L9</f>
        <v>6159.5193229695951</v>
      </c>
    </row>
    <row r="11" spans="2:15" x14ac:dyDescent="0.3">
      <c r="B11" s="53"/>
      <c r="C11" s="53"/>
      <c r="D11" s="53"/>
      <c r="E11" s="3" t="s">
        <v>2</v>
      </c>
      <c r="F11" s="4">
        <f>+F9+F10</f>
        <v>0</v>
      </c>
      <c r="H11" s="53"/>
      <c r="I11" s="53"/>
      <c r="J11" s="53"/>
      <c r="K11" s="1" t="s">
        <v>5</v>
      </c>
      <c r="L11" s="2">
        <f>+L10*13%</f>
        <v>800.73751198604737</v>
      </c>
    </row>
    <row r="12" spans="2:15" x14ac:dyDescent="0.3">
      <c r="B12" s="53"/>
      <c r="C12" s="53"/>
      <c r="D12" s="53"/>
      <c r="E12" s="1" t="s">
        <v>6</v>
      </c>
      <c r="F12" s="2">
        <f>+F9*2%</f>
        <v>0</v>
      </c>
      <c r="H12" s="53"/>
      <c r="I12" s="53"/>
      <c r="J12" s="53"/>
      <c r="K12" s="3" t="s">
        <v>2</v>
      </c>
      <c r="L12" s="4">
        <f>+L10+L11</f>
        <v>6960.2568349556423</v>
      </c>
    </row>
    <row r="13" spans="2:15" x14ac:dyDescent="0.3">
      <c r="B13" s="54"/>
      <c r="C13" s="54"/>
      <c r="D13" s="54"/>
      <c r="E13" s="6" t="s">
        <v>1</v>
      </c>
      <c r="F13" s="2">
        <f>+F11-F12</f>
        <v>0</v>
      </c>
      <c r="H13" s="53"/>
      <c r="I13" s="53"/>
      <c r="J13" s="53"/>
      <c r="K13" s="1" t="s">
        <v>6</v>
      </c>
      <c r="L13" s="2">
        <f>+L10*2%</f>
        <v>123.1903864593919</v>
      </c>
      <c r="N13" s="5"/>
      <c r="O13" s="5"/>
    </row>
    <row r="14" spans="2:15" x14ac:dyDescent="0.3">
      <c r="F14" s="5"/>
      <c r="H14" s="53"/>
      <c r="I14" s="53"/>
      <c r="J14" s="53"/>
      <c r="K14" s="6" t="s">
        <v>1</v>
      </c>
      <c r="L14" s="2">
        <f>+L12-L13</f>
        <v>6837.0664484962508</v>
      </c>
    </row>
    <row r="17" spans="3:12" x14ac:dyDescent="0.3">
      <c r="J17" s="7"/>
    </row>
    <row r="18" spans="3:12" x14ac:dyDescent="0.3">
      <c r="K18" s="5"/>
      <c r="L18" s="8"/>
    </row>
    <row r="19" spans="3:12" x14ac:dyDescent="0.3">
      <c r="J19" s="5"/>
      <c r="K19" s="5"/>
      <c r="L19" s="8"/>
    </row>
    <row r="20" spans="3:12" x14ac:dyDescent="0.3">
      <c r="C20" s="5"/>
      <c r="E20" s="5"/>
      <c r="J20" s="5"/>
      <c r="K20" s="5"/>
      <c r="L20" s="29"/>
    </row>
    <row r="21" spans="3:12" x14ac:dyDescent="0.3">
      <c r="E21" s="5"/>
    </row>
    <row r="22" spans="3:12" x14ac:dyDescent="0.3">
      <c r="C22" s="5"/>
      <c r="K22" s="8"/>
    </row>
    <row r="24" spans="3:12" x14ac:dyDescent="0.3">
      <c r="C24" s="5"/>
    </row>
  </sheetData>
  <mergeCells count="8">
    <mergeCell ref="B7:D13"/>
    <mergeCell ref="B4:F5"/>
    <mergeCell ref="H4:L5"/>
    <mergeCell ref="E6:F6"/>
    <mergeCell ref="B6:D6"/>
    <mergeCell ref="H6:J6"/>
    <mergeCell ref="K6:L6"/>
    <mergeCell ref="H7:J14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9"/>
  <sheetViews>
    <sheetView workbookViewId="0">
      <selection activeCell="F7" sqref="F7"/>
    </sheetView>
  </sheetViews>
  <sheetFormatPr defaultColWidth="9.109375" defaultRowHeight="14.4" x14ac:dyDescent="0.3"/>
  <cols>
    <col min="1" max="1" width="16.88671875" bestFit="1" customWidth="1"/>
    <col min="2" max="2" width="28" customWidth="1"/>
    <col min="3" max="3" width="25.109375" bestFit="1" customWidth="1"/>
    <col min="4" max="4" width="14.33203125" bestFit="1" customWidth="1"/>
    <col min="5" max="5" width="19.5546875" bestFit="1" customWidth="1"/>
    <col min="6" max="6" width="15" bestFit="1" customWidth="1"/>
    <col min="7" max="7" width="19.33203125" bestFit="1" customWidth="1"/>
    <col min="8" max="8" width="13.44140625" bestFit="1" customWidth="1"/>
    <col min="9" max="9" width="13.33203125" bestFit="1" customWidth="1"/>
    <col min="10" max="10" width="13.109375" bestFit="1" customWidth="1"/>
    <col min="11" max="11" width="13.33203125" bestFit="1" customWidth="1"/>
    <col min="12" max="12" width="13.109375" bestFit="1" customWidth="1"/>
    <col min="13" max="13" width="8.5546875" bestFit="1" customWidth="1"/>
    <col min="14" max="14" width="52.6640625" bestFit="1" customWidth="1"/>
  </cols>
  <sheetData>
    <row r="1" spans="1:12" x14ac:dyDescent="0.3">
      <c r="A1" s="47" t="s">
        <v>12</v>
      </c>
      <c r="B1" s="48"/>
      <c r="C1" s="48"/>
      <c r="D1" s="48"/>
      <c r="E1" s="49"/>
      <c r="F1">
        <v>456</v>
      </c>
      <c r="G1" t="s">
        <v>339</v>
      </c>
    </row>
    <row r="2" spans="1:12" x14ac:dyDescent="0.3">
      <c r="A2" s="16"/>
      <c r="B2" s="17"/>
      <c r="C2" s="19" t="s">
        <v>13</v>
      </c>
      <c r="D2" s="19" t="s">
        <v>14</v>
      </c>
      <c r="E2" s="18"/>
    </row>
    <row r="3" spans="1:12" x14ac:dyDescent="0.3">
      <c r="A3" s="15"/>
      <c r="B3" s="15" t="str">
        <f>+A17</f>
        <v>JOSELYN ARAYA</v>
      </c>
      <c r="C3" s="5">
        <f t="shared" ref="C3:D5" si="0">+I17</f>
        <v>1231048.888888889</v>
      </c>
      <c r="D3" s="5">
        <f>+J17</f>
        <v>615524.4444444445</v>
      </c>
    </row>
    <row r="4" spans="1:12" x14ac:dyDescent="0.3">
      <c r="A4" s="15"/>
      <c r="B4" s="15" t="str">
        <f>+A18</f>
        <v>CRISTINA</v>
      </c>
      <c r="C4" s="5">
        <f t="shared" si="0"/>
        <v>1323377.5555555557</v>
      </c>
      <c r="D4" s="5">
        <f t="shared" si="0"/>
        <v>661688.77777777787</v>
      </c>
    </row>
    <row r="5" spans="1:12" x14ac:dyDescent="0.3">
      <c r="A5" s="15"/>
      <c r="B5" s="15" t="s">
        <v>61</v>
      </c>
      <c r="C5" s="5">
        <f t="shared" si="0"/>
        <v>1846573.3333333335</v>
      </c>
      <c r="D5" s="5">
        <f t="shared" si="0"/>
        <v>923286.66666666674</v>
      </c>
    </row>
    <row r="6" spans="1:12" x14ac:dyDescent="0.3">
      <c r="B6" s="19" t="s">
        <v>15</v>
      </c>
      <c r="C6" s="20"/>
      <c r="D6" s="25">
        <f>SUM(D3:D5)</f>
        <v>2200499.888888889</v>
      </c>
      <c r="E6" s="20"/>
    </row>
    <row r="7" spans="1:12" x14ac:dyDescent="0.3">
      <c r="B7" s="31" t="s">
        <v>28</v>
      </c>
      <c r="C7" s="32"/>
      <c r="D7" s="33"/>
      <c r="E7" s="32"/>
    </row>
    <row r="8" spans="1:12" x14ac:dyDescent="0.3">
      <c r="B8" s="31" t="s">
        <v>27</v>
      </c>
      <c r="C8" s="32"/>
      <c r="D8" s="33">
        <f>+D6-D7</f>
        <v>2200499.888888889</v>
      </c>
      <c r="E8" s="32"/>
      <c r="G8" s="27"/>
      <c r="H8" s="28"/>
      <c r="I8" s="26"/>
    </row>
    <row r="9" spans="1:12" x14ac:dyDescent="0.3">
      <c r="B9" s="31" t="s">
        <v>16</v>
      </c>
      <c r="C9" s="32"/>
      <c r="D9" s="34">
        <f>+D8/F1</f>
        <v>4825.6576510721252</v>
      </c>
      <c r="E9" s="32"/>
    </row>
    <row r="10" spans="1:12" x14ac:dyDescent="0.3">
      <c r="B10" s="31" t="s">
        <v>29</v>
      </c>
      <c r="C10" s="32"/>
      <c r="D10" s="35">
        <f>'Monto de factura'!F7</f>
        <v>381710.6550000002</v>
      </c>
      <c r="E10" s="32"/>
    </row>
    <row r="11" spans="1:12" x14ac:dyDescent="0.3">
      <c r="B11" s="31" t="s">
        <v>32</v>
      </c>
      <c r="C11" s="32"/>
      <c r="D11" s="35">
        <f>D8-D10</f>
        <v>1818789.2338888887</v>
      </c>
      <c r="E11" s="32"/>
      <c r="G11" s="27"/>
    </row>
    <row r="12" spans="1:12" x14ac:dyDescent="0.3">
      <c r="B12" s="36" t="s">
        <v>30</v>
      </c>
      <c r="C12" s="37"/>
      <c r="D12" s="38">
        <f>D11/F1</f>
        <v>3988.5728813352821</v>
      </c>
      <c r="E12" s="37"/>
    </row>
    <row r="13" spans="1:12" x14ac:dyDescent="0.3">
      <c r="B13" s="13"/>
      <c r="D13" s="26"/>
    </row>
    <row r="14" spans="1:12" x14ac:dyDescent="0.3">
      <c r="C14" s="15"/>
      <c r="E14" s="8"/>
      <c r="L14" s="13"/>
    </row>
    <row r="15" spans="1:12" x14ac:dyDescent="0.3">
      <c r="A15" s="21"/>
      <c r="B15" s="20"/>
      <c r="C15" s="22">
        <v>0.26669999999999999</v>
      </c>
      <c r="D15" s="23">
        <f>+D17/B17</f>
        <v>8.3333333333333343E-2</v>
      </c>
      <c r="E15" s="22">
        <v>1.0999999999999999E-2</v>
      </c>
      <c r="F15" s="22">
        <f>+F17/B17</f>
        <v>3.888888888888889E-2</v>
      </c>
      <c r="G15" s="23">
        <f>+G17/B17</f>
        <v>8.3333333333333343E-2</v>
      </c>
      <c r="H15" s="23">
        <f>+H17/B17</f>
        <v>5.5555555555555559E-2</v>
      </c>
      <c r="I15" s="20"/>
      <c r="J15" s="20"/>
    </row>
    <row r="16" spans="1:12" x14ac:dyDescent="0.3">
      <c r="A16" s="21"/>
      <c r="B16" s="24" t="s">
        <v>17</v>
      </c>
      <c r="C16" s="24" t="s">
        <v>18</v>
      </c>
      <c r="D16" s="24" t="s">
        <v>19</v>
      </c>
      <c r="E16" s="24" t="s">
        <v>8</v>
      </c>
      <c r="F16" s="24" t="s">
        <v>20</v>
      </c>
      <c r="G16" s="24" t="s">
        <v>21</v>
      </c>
      <c r="H16" s="24" t="s">
        <v>22</v>
      </c>
      <c r="I16" s="24" t="s">
        <v>23</v>
      </c>
      <c r="J16" s="24" t="s">
        <v>31</v>
      </c>
    </row>
    <row r="17" spans="1:11" x14ac:dyDescent="0.3">
      <c r="A17" t="s">
        <v>33</v>
      </c>
      <c r="B17" s="8">
        <v>800000</v>
      </c>
      <c r="C17" s="8">
        <f>+B17*$C$15</f>
        <v>213360</v>
      </c>
      <c r="D17" s="8">
        <f>+B17/12</f>
        <v>66666.666666666672</v>
      </c>
      <c r="E17" s="8">
        <f>+B17*$E$15</f>
        <v>8800</v>
      </c>
      <c r="F17" s="8">
        <f>+((B17/30)*14)/12</f>
        <v>31111.111111111113</v>
      </c>
      <c r="G17" s="8">
        <f>+B17/12</f>
        <v>66666.666666666672</v>
      </c>
      <c r="H17" s="8">
        <f>+(B17/30*20)/12</f>
        <v>44444.444444444445</v>
      </c>
      <c r="I17" s="9">
        <f>SUM(B17:H17)</f>
        <v>1231048.888888889</v>
      </c>
      <c r="J17" s="14">
        <f>+I17/2</f>
        <v>615524.4444444445</v>
      </c>
    </row>
    <row r="18" spans="1:11" x14ac:dyDescent="0.3">
      <c r="A18" s="15" t="s">
        <v>34</v>
      </c>
      <c r="B18" s="8">
        <f>910000-50000</f>
        <v>860000</v>
      </c>
      <c r="C18" s="8">
        <f>+B18*$C$15</f>
        <v>229362</v>
      </c>
      <c r="D18" s="8">
        <f>+B18/12</f>
        <v>71666.666666666672</v>
      </c>
      <c r="E18" s="8">
        <f>+B18*$E$15</f>
        <v>9460</v>
      </c>
      <c r="F18" s="8">
        <f>+((B18/30)*14)/12</f>
        <v>33444.444444444445</v>
      </c>
      <c r="G18" s="8">
        <f>+B18/12</f>
        <v>71666.666666666672</v>
      </c>
      <c r="H18" s="8">
        <f>+(B18/30*20)/12</f>
        <v>47777.777777777781</v>
      </c>
      <c r="I18" s="9">
        <f>SUM(B18:H18)</f>
        <v>1323377.5555555557</v>
      </c>
      <c r="J18" s="14">
        <f>+I18/2</f>
        <v>661688.77777777787</v>
      </c>
    </row>
    <row r="19" spans="1:11" x14ac:dyDescent="0.3">
      <c r="A19" s="15" t="s">
        <v>61</v>
      </c>
      <c r="B19" s="8">
        <v>1200000</v>
      </c>
      <c r="C19" s="8">
        <f>+B19*$C$15</f>
        <v>320040</v>
      </c>
      <c r="D19" s="8">
        <f>+B19/12</f>
        <v>100000</v>
      </c>
      <c r="E19" s="8">
        <f>+B19*$E$15</f>
        <v>13200</v>
      </c>
      <c r="F19" s="8">
        <f>+((B19/30)*14)/12</f>
        <v>46666.666666666664</v>
      </c>
      <c r="G19" s="8">
        <f>+B19/12</f>
        <v>100000</v>
      </c>
      <c r="H19" s="8">
        <f>+(B19/30*20)/12</f>
        <v>66666.666666666672</v>
      </c>
      <c r="I19" s="9">
        <f>SUM(B19:H19)</f>
        <v>1846573.3333333335</v>
      </c>
      <c r="J19" s="14">
        <f>+I19/2</f>
        <v>923286.66666666674</v>
      </c>
    </row>
    <row r="20" spans="1:11" x14ac:dyDescent="0.3">
      <c r="A20" s="15"/>
      <c r="B20" s="10" t="s">
        <v>24</v>
      </c>
      <c r="C20" s="10" t="s">
        <v>24</v>
      </c>
      <c r="D20" s="10" t="s">
        <v>24</v>
      </c>
      <c r="E20" s="10" t="s">
        <v>24</v>
      </c>
      <c r="F20" s="10" t="s">
        <v>25</v>
      </c>
      <c r="G20" s="10" t="s">
        <v>25</v>
      </c>
      <c r="H20" s="10" t="s">
        <v>25</v>
      </c>
    </row>
    <row r="21" spans="1:11" x14ac:dyDescent="0.3">
      <c r="A21" s="15"/>
      <c r="C21" s="8"/>
      <c r="D21" s="11"/>
    </row>
    <row r="22" spans="1:11" x14ac:dyDescent="0.3">
      <c r="A22" s="15"/>
      <c r="B22" s="9"/>
      <c r="D22" s="11"/>
      <c r="G22" s="8"/>
    </row>
    <row r="23" spans="1:11" x14ac:dyDescent="0.3">
      <c r="B23" s="8"/>
      <c r="C23" s="12">
        <f>SUM(C17:C21)</f>
        <v>762762</v>
      </c>
      <c r="E23" s="8"/>
      <c r="F23" s="8"/>
      <c r="G23" s="8"/>
    </row>
    <row r="24" spans="1:11" x14ac:dyDescent="0.3">
      <c r="B24" s="29"/>
      <c r="F24" s="9"/>
      <c r="G24" s="9"/>
    </row>
    <row r="25" spans="1:11" x14ac:dyDescent="0.3">
      <c r="A25" s="30"/>
      <c r="F25" s="9"/>
    </row>
    <row r="26" spans="1:11" x14ac:dyDescent="0.3">
      <c r="C26" s="29"/>
      <c r="I26" s="8"/>
      <c r="J26" s="29"/>
      <c r="K26" s="29"/>
    </row>
    <row r="27" spans="1:11" x14ac:dyDescent="0.3">
      <c r="C27" s="8"/>
    </row>
    <row r="28" spans="1:11" x14ac:dyDescent="0.3">
      <c r="C28" s="29"/>
    </row>
    <row r="29" spans="1:11" x14ac:dyDescent="0.3">
      <c r="C29" s="9"/>
    </row>
  </sheetData>
  <mergeCells count="1">
    <mergeCell ref="A1:E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Detalle</vt:lpstr>
      <vt:lpstr>Monto de factura</vt:lpstr>
      <vt:lpstr>REBAJO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Angie Bermudez</cp:lastModifiedBy>
  <dcterms:created xsi:type="dcterms:W3CDTF">2019-01-22T21:10:51Z</dcterms:created>
  <dcterms:modified xsi:type="dcterms:W3CDTF">2026-07-29T19:15:44Z</dcterms:modified>
</cp:coreProperties>
</file>