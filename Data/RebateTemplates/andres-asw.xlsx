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6c753c36b46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talle" sheetId="1" r:id="Ra077450a986e4c61"/>
    <x:sheet xmlns:r="http://schemas.openxmlformats.org/officeDocument/2006/relationships" name="Monto de factura" sheetId="2" r:id="R64ad21dca1164e70"/>
    <x:sheet xmlns:r="http://schemas.openxmlformats.org/officeDocument/2006/relationships" name="REBAJO" sheetId="3" r:id="Rb4d159ffda0447e2"/>
  </x:sheets>
</x:workbook>
</file>

<file path=xl/sharedStrings.xml><?xml version="1.0" encoding="utf-8"?>
<x:sst xmlns:x="http://schemas.openxmlformats.org/spreadsheetml/2006/main">
  <x:si>
    <x:t xml:space="preserve">Código</x:t>
  </x:si>
  <x:si>
    <x:t xml:space="preserve">Corredor</x:t>
  </x:si>
  <x:si>
    <x:t xml:space="preserve">Póliza</x:t>
  </x:si>
  <x:si>
    <x:t xml:space="preserve">Asegurado</x:t>
  </x:si>
  <x:si>
    <x:t xml:space="preserve">Aseguradora</x:t>
  </x:si>
  <x:si>
    <x:t xml:space="preserve">Trans.</x:t>
  </x:si>
  <x:si>
    <x:t xml:space="preserve">Categoría</x:t>
  </x:si>
  <x:si>
    <x:t xml:space="preserve">Moneda</x:t>
  </x:si>
  <x:si>
    <x:t xml:space="preserve">Prima</x:t>
  </x:si>
  <x:si>
    <x:t xml:space="preserve">Comisión Bruta</x:t>
  </x:si>
  <x:si>
    <x:t xml:space="preserve">% Corredor</x:t>
  </x:si>
  <x:si>
    <x:t xml:space="preserve">Comisión Corredor</x:t>
  </x:si>
  <x:si>
    <x:t xml:space="preserve">2%</x:t>
  </x:si>
  <x:si>
    <x:t xml:space="preserve">Total Final</x:t>
  </x:si>
  <x:si>
    <x:t xml:space="preserve">Observación</x:t>
  </x:si>
  <x:si>
    <x:t xml:space="preserve">94</x:t>
  </x:si>
  <x:si>
    <x:t xml:space="preserve">Andres  Steinberg/AS </x:t>
  </x:si>
  <x:si>
    <x:t xml:space="preserve">0137953</x:t>
  </x:si>
  <x:si>
    <x:t xml:space="preserve">DEPORTIVO ISRAE LITA S.A.</x:t>
  </x:si>
  <x:si>
    <x:t xml:space="preserve">INS</x:t>
  </x:si>
  <x:si>
    <x:t xml:space="preserve">RENO</x:t>
  </x:si>
  <x:si>
    <x:t xml:space="preserve">Seguros Personales</x:t>
  </x:si>
  <x:si>
    <x:t xml:space="preserve">Colones</x:t>
  </x:si>
  <x:si>
    <x:t xml:space="preserve">90.00</x:t>
  </x:si>
  <x:si>
    <x:t xml:space="preserve">H072657</x:t>
  </x:si>
  <x:si>
    <x:t xml:space="preserve">KAWER WIGODA DANIEL</x:t>
  </x:si>
  <x:si>
    <x:t xml:space="preserve">9564793</x:t>
  </x:si>
  <x:si>
    <x:t xml:space="preserve">EL TALLER DEL C HOCOLATE SOCIE</x:t>
  </x:si>
  <x:si>
    <x:t xml:space="preserve">9581980</x:t>
  </x:si>
  <x:si>
    <x:t xml:space="preserve">ARTE Y DISE?O M ODULAR S.A.</x:t>
  </x:si>
  <x:si>
    <x:t xml:space="preserve">01-01-AUT-2192024-00</x:t>
  </x:si>
  <x:si>
    <x:t xml:space="preserve">SANCHEZ ALVARADO ANA PATRICIA</x:t>
  </x:si>
  <x:si>
    <x:t xml:space="preserve">EMIS</x:t>
  </x:si>
  <x:si>
    <x:t xml:space="preserve">Seguros Generales</x:t>
  </x:si>
  <x:si>
    <x:t xml:space="preserve">01-01-AUT-2205794-00</x:t>
  </x:si>
  <x:si>
    <x:t xml:space="preserve">VILLAROEL SOTO LUISIANA CARLOT</x:t>
  </x:si>
  <x:si>
    <x:t xml:space="preserve">01-01-AUT-2212695-00</x:t>
  </x:si>
  <x:si>
    <x:t xml:space="preserve">GUIDO GUTIERREZ JORGE EDUARDO</x:t>
  </x:si>
  <x:si>
    <x:t xml:space="preserve">01-12-AUT-0099992-01</x:t>
  </x:si>
  <x:si>
    <x:t xml:space="preserve">CORI CAR SOCIEDAD ANONIMA</x:t>
  </x:si>
  <x:si>
    <x:t xml:space="preserve">01-12-AUT-0106232-00</x:t>
  </x:si>
  <x:si>
    <x:t xml:space="preserve">LEON SALAZAR MAURICIO</x:t>
  </x:si>
  <x:si>
    <x:t xml:space="preserve">01-12-FID-0002634-05</x:t>
  </x:si>
  <x:si>
    <x:t xml:space="preserve">VARGAS DIMARCO FRANTY</x:t>
  </x:si>
  <x:si>
    <x:t xml:space="preserve">01-12-RCG-0003298-03</x:t>
  </x:si>
  <x:si>
    <x:t xml:space="preserve">GRAND MOTORS  S.A.</x:t>
  </x:si>
  <x:si>
    <x:t xml:space="preserve">01-12-RCG-0003299-03</x:t>
  </x:si>
  <x:si>
    <x:t xml:space="preserve">01-12-RCG-0003300-03</x:t>
  </x:si>
  <x:si>
    <x:t xml:space="preserve">01-12-RCG-0003301-03</x:t>
  </x:si>
  <x:si>
    <x:t xml:space="preserve">01-12-RCG-0003662-03</x:t>
  </x:si>
  <x:si>
    <x:t xml:space="preserve">01-12-RCG-0004020-02</x:t>
  </x:si>
  <x:si>
    <x:t xml:space="preserve">9583128</x:t>
  </x:si>
  <x:si>
    <x:t xml:space="preserve">UGALDE HERRERA AURORA VANESSA</x:t>
  </x:si>
  <x:si>
    <x:t xml:space="preserve">01-06-AUT-0094333-00</x:t>
  </x:si>
  <x:si>
    <x:t xml:space="preserve">OCC CONSTRUCTORA SOCIEDAD ANON</x:t>
  </x:si>
  <x:si>
    <x:t xml:space="preserve">189</x:t>
  </x:si>
  <x:si>
    <x:t xml:space="preserve">Andres  Steinberg/AS27 </x:t>
  </x:si>
  <x:si>
    <x:t xml:space="preserve">01-21-AGI-0008777-01</x:t>
  </x:si>
  <x:si>
    <x:t xml:space="preserve">WEINSTOK MENDELEWICZ LEON</x:t>
  </x:si>
  <x:si>
    <x:t xml:space="preserve">AJUS</x:t>
  </x:si>
  <x:si>
    <x:t xml:space="preserve">01-21-AGI-0010017-01</x:t>
  </x:si>
  <x:si>
    <x:t xml:space="preserve">AHARONY PNINA</x:t>
  </x:si>
  <x:si>
    <x:t xml:space="preserve">01-21-AGI-0013748-00</x:t>
  </x:si>
  <x:si>
    <x:t xml:space="preserve">RODRIGUEZ GALINDO NAPOLEON ANT</x:t>
  </x:si>
  <x:si>
    <x:t xml:space="preserve">AU-174861-39784-0</x:t>
  </x:si>
  <x:si>
    <x:t xml:space="preserve">FARAH AUTOMOTRIZ SOCIEDAD DE RESPONSABILIDAD LIMITADA</x:t>
  </x:si>
  <x:si>
    <x:t xml:space="preserve">LAFISE</x:t>
  </x:si>
  <x:si>
    <x:t xml:space="preserve">AU-193018-11944-0</x:t>
  </x:si>
  <x:si>
    <x:t xml:space="preserve">MARÍA TERESA CORDOVA DE HERNANDEZ</x:t>
  </x:si>
  <x:si>
    <x:t xml:space="preserve">AU-262398-33871-0</x:t>
  </x:si>
  <x:si>
    <x:t xml:space="preserve">FREDDY DAVID ROJAS ULATE</x:t>
  </x:si>
  <x:si>
    <x:t xml:space="preserve">AU-289992-39694-0</x:t>
  </x:si>
  <x:si>
    <x:t xml:space="preserve">FABRIZIO GIUSTINIANI CASTRO</x:t>
  </x:si>
  <x:si>
    <x:t xml:space="preserve">AU-259636-37480-0</x:t>
  </x:si>
  <x:si>
    <x:t xml:space="preserve">ADRIANA BRENES LEITON</x:t>
  </x:si>
  <x:si>
    <x:t xml:space="preserve">AU-202949-40179-0</x:t>
  </x:si>
  <x:si>
    <x:t xml:space="preserve">LUIS JONNATHAN SOLORZANO SANCHEZ</x:t>
  </x:si>
  <x:si>
    <x:t xml:space="preserve">AU-269513-35459-0</x:t>
  </x:si>
  <x:si>
    <x:t xml:space="preserve">SERVICIOS INTEGRALES ALARCO SV SOCIEDAD DE RESPONSABILIDAD LIMITADA</x:t>
  </x:si>
  <x:si>
    <x:t xml:space="preserve">2702200000602</x:t>
  </x:si>
  <x:si>
    <x:t xml:space="preserve">CONDOMINIO GRAN HORIZONTE</x:t>
  </x:si>
  <x:si>
    <x:t xml:space="preserve">MAPFRE</x:t>
  </x:si>
  <x:si>
    <x:t xml:space="preserve">APTV-36331</x:t>
  </x:si>
  <x:si>
    <x:t xml:space="preserve">MARTIN FRANCISCO JIMENEZ CORDERO</x:t>
  </x:si>
  <x:si>
    <x:t xml:space="preserve">MNK SEGUROS </x:t>
  </x:si>
  <x:si>
    <x:t xml:space="preserve">APTV-67327</x:t>
  </x:si>
  <x:si>
    <x:t xml:space="preserve">EDUARDO DE JESUS VEGA CASTILLO</x:t>
  </x:si>
  <x:si>
    <x:t xml:space="preserve">APTV-50249</x:t>
  </x:si>
  <x:si>
    <x:t xml:space="preserve">JULIO CESAR MARIN GOMEZ</x:t>
  </x:si>
  <x:si>
    <x:t xml:space="preserve">APTV-61973</x:t>
  </x:si>
  <x:si>
    <x:t xml:space="preserve">PETS PARADISE SOCIEDAD ANONIMA</x:t>
  </x:si>
  <x:si>
    <x:t xml:space="preserve">APTV-66700</x:t>
  </x:si>
  <x:si>
    <x:t xml:space="preserve">APTV-62995</x:t>
  </x:si>
  <x:si>
    <x:t xml:space="preserve">ESTEPHANIA ARIANA CASTRO RUGAM</x:t>
  </x:si>
  <x:si>
    <x:t xml:space="preserve">0160023497</x:t>
  </x:si>
  <x:si>
    <x:t xml:space="preserve">WIEN SCHECHNER IDIS</x:t>
  </x:si>
  <x:si>
    <x:t xml:space="preserve">QUALITAS</x:t>
  </x:si>
  <x:si>
    <x:t xml:space="preserve">ACRE.COMIS.R.F.</x:t>
  </x:si>
  <x:si>
    <x:t xml:space="preserve">0160025488</x:t>
  </x:si>
  <x:si>
    <x:t xml:space="preserve">EDERY ESQUENAZI PERLA</x:t>
  </x:si>
  <x:si>
    <x:t xml:space="preserve">0160026782</x:t>
  </x:si>
  <x:si>
    <x:t xml:space="preserve">PEREZ ZAMORA MARIO ARTURO</x:t>
  </x:si>
  <x:si>
    <x:t xml:space="preserve">Monto bruto comison</x:t>
  </x:si>
  <x:si>
    <x:t xml:space="preserve">I.V.A</x:t>
  </x:si>
  <x:si>
    <x:t xml:space="preserve">Monto Factura</x:t>
  </x:si>
  <x:si>
    <x:t xml:space="preserve">Retencion 2%</x:t>
  </x:si>
  <x:si>
    <x:t xml:space="preserve">Monto depositado </x:t>
  </x:si>
  <x:si>
    <x:t xml:space="preserve">70B1492</x:t>
  </x:si>
  <x:si>
    <x:t xml:space="preserve">LELCHUK DYBNER, DANIEL ANDRES</x:t>
  </x:si>
  <x:si>
    <x:t xml:space="preserve">ASSA</x:t>
  </x:si>
  <x:si>
    <x:t xml:space="preserve">ABON</x:t>
  </x:si>
  <x:si>
    <x:t xml:space="preserve">Dólares</x:t>
  </x:si>
  <x:si>
    <x:t xml:space="preserve">70B818</x:t>
  </x:si>
  <x:si>
    <x:t xml:space="preserve">UNGER SENERMAN, SHARON</x:t>
  </x:si>
  <x:si>
    <x:t xml:space="preserve">70B728</x:t>
  </x:si>
  <x:si>
    <x:t xml:space="preserve">ALTAMIRANO MARROQUIN, GLANN CARLOS</x:t>
  </x:si>
  <x:si>
    <x:t xml:space="preserve">70B831</x:t>
  </x:si>
  <x:si>
    <x:t xml:space="preserve">GONZALEZ MATAMOROS, NATALIA</x:t>
  </x:si>
  <x:si>
    <x:t xml:space="preserve">70B1900</x:t>
  </x:si>
  <x:si>
    <x:t xml:space="preserve">MARIN LARA, MARIA DEL CARMEN</x:t>
  </x:si>
  <x:si>
    <x:t xml:space="preserve">70B3569</x:t>
  </x:si>
  <x:si>
    <x:t xml:space="preserve">JAIMES PUERTAS, ROGER JOSE</x:t>
  </x:si>
  <x:si>
    <x:t xml:space="preserve">70B4145</x:t>
  </x:si>
  <x:si>
    <x:t xml:space="preserve">MONGE CAMPOS, ALVARO JOSE</x:t>
  </x:si>
  <x:si>
    <x:t xml:space="preserve">09B945</x:t>
  </x:si>
  <x:si>
    <x:t xml:space="preserve">INCO CORPORATE CENTER SOCIEDAD ANONIMA</x:t>
  </x:si>
  <x:si>
    <x:t xml:space="preserve">70BC557</x:t>
  </x:si>
  <x:si>
    <x:t xml:space="preserve">70B650</x:t>
  </x:si>
  <x:si>
    <x:t xml:space="preserve">QUESADA, LUIS ANDRES</x:t>
  </x:si>
  <x:si>
    <x:t xml:space="preserve">70B4314</x:t>
  </x:si>
  <x:si>
    <x:t xml:space="preserve">SUAREZ ZAMORA, DEBORA</x:t>
  </x:si>
  <x:si>
    <x:t xml:space="preserve">70BC413</x:t>
  </x:si>
  <x:si>
    <x:t xml:space="preserve">SOLUCIONES SEGURAS SSCR S.A</x:t>
  </x:si>
  <x:si>
    <x:t xml:space="preserve">09B601</x:t>
  </x:si>
  <x:si>
    <x:t xml:space="preserve">70B4538</x:t>
  </x:si>
  <x:si>
    <x:t xml:space="preserve">ARAYA JIMENEZ, ROLANDO</x:t>
  </x:si>
  <x:si>
    <x:t xml:space="preserve">2500781942</x:t>
  </x:si>
  <x:si>
    <x:t xml:space="preserve">YOAV LANG FEINZAIG</x:t>
  </x:si>
  <x:si>
    <x:t xml:space="preserve">BMI</x:t>
  </x:si>
  <x:si>
    <x:t xml:space="preserve">2600795554</x:t>
  </x:si>
  <x:si>
    <x:t xml:space="preserve">PAULA MARIA GONZALEZ VILLAR</x:t>
  </x:si>
  <x:si>
    <x:t xml:space="preserve">2600797352</x:t>
  </x:si>
  <x:si>
    <x:t xml:space="preserve">TAMIR PINKAS</x:t>
  </x:si>
  <x:si>
    <x:t xml:space="preserve">1500573259</x:t>
  </x:si>
  <x:si>
    <x:t xml:space="preserve">ABRAHAM WIEN SHECHNER</x:t>
  </x:si>
  <x:si>
    <x:t xml:space="preserve">1700598200</x:t>
  </x:si>
  <x:si>
    <x:t xml:space="preserve">MARCELA AUXILIADORA CELEDON LACAYO</x:t>
  </x:si>
  <x:si>
    <x:t xml:space="preserve">2100701202</x:t>
  </x:si>
  <x:si>
    <x:t xml:space="preserve">CARLOS ALBERTO PEÑA</x:t>
  </x:si>
  <x:si>
    <x:t xml:space="preserve">2400766846</x:t>
  </x:si>
  <x:si>
    <x:t xml:space="preserve">PERLA EDERY ESQUENAZI</x:t>
  </x:si>
  <x:si>
    <x:t xml:space="preserve">2500775990</x:t>
  </x:si>
  <x:si>
    <x:t xml:space="preserve">DANIELA JINICH</x:t>
  </x:si>
  <x:si>
    <x:t xml:space="preserve">MTCR003225</x:t>
  </x:si>
  <x:si>
    <x:t xml:space="preserve">VIVIAN KELLERMANN GUTERMAN</x:t>
  </x:si>
  <x:si>
    <x:t xml:space="preserve">1400557924</x:t>
  </x:si>
  <x:si>
    <x:t xml:space="preserve">DANIELLA EDERY ESQUENAZI</x:t>
  </x:si>
  <x:si>
    <x:t xml:space="preserve">1600585144</x:t>
  </x:si>
  <x:si>
    <x:t xml:space="preserve">CAROL GUZOWSKI COSIOL</x:t>
  </x:si>
  <x:si>
    <x:t xml:space="preserve">1600586240</x:t>
  </x:si>
  <x:si>
    <x:t xml:space="preserve">JEAN PAUL GIUSTINIANI CAPRA</x:t>
  </x:si>
  <x:si>
    <x:t xml:space="preserve">2000665131</x:t>
  </x:si>
  <x:si>
    <x:t xml:space="preserve">ALVARO JOSE MONGE CAMPOS</x:t>
  </x:si>
  <x:si>
    <x:t xml:space="preserve">1500574131</x:t>
  </x:si>
  <x:si>
    <x:t xml:space="preserve">ROLANDO BEFELER DACHNER</x:t>
  </x:si>
  <x:si>
    <x:t xml:space="preserve">1600596030</x:t>
  </x:si>
  <x:si>
    <x:t xml:space="preserve">DEREK CHESTER FERGUSON</x:t>
  </x:si>
  <x:si>
    <x:t xml:space="preserve">2400753133</x:t>
  </x:si>
  <x:si>
    <x:t xml:space="preserve">SERGIO ICKOWICZ FAINGEZICHT</x:t>
  </x:si>
  <x:si>
    <x:t xml:space="preserve">2400764955</x:t>
  </x:si>
  <x:si>
    <x:t xml:space="preserve">MOSHE MILGRAM HOCHGELERNTER</x:t>
  </x:si>
  <x:si>
    <x:t xml:space="preserve">2500770707</x:t>
  </x:si>
  <x:si>
    <x:t xml:space="preserve">MIRTA ELENA MORALES SILVA</x:t>
  </x:si>
  <x:si>
    <x:t xml:space="preserve">02-12-IMR-0001594-02</x:t>
  </x:si>
  <x:si>
    <x:t xml:space="preserve">CONDOMINIO VERTICAL COMERCIAL</x:t>
  </x:si>
  <x:si>
    <x:t xml:space="preserve">02-12-RCG-0000153-05</x:t>
  </x:si>
  <x:si>
    <x:t xml:space="preserve">CONDOMINIO COSMOPOLITAN TOWERS</x:t>
  </x:si>
  <x:si>
    <x:t xml:space="preserve">02-12-RGN-0000098-01</x:t>
  </x:si>
  <x:si>
    <x:t xml:space="preserve">ROSENCWAIG BRUTEN MARIO ABRAHA</x:t>
  </x:si>
  <x:si>
    <x:t xml:space="preserve">02-01-MED-0000027-14</x:t>
  </x:si>
  <x:si>
    <x:t xml:space="preserve">SCHIFTER CYRANOWICZ JOSE FELIX</x:t>
  </x:si>
  <x:si>
    <x:t xml:space="preserve">02-01-MED-0000704-14</x:t>
  </x:si>
  <x:si>
    <x:t xml:space="preserve">SCHIFTER KLEIMAN JESSICA</x:t>
  </x:si>
  <x:si>
    <x:t xml:space="preserve">02-01-MED-0007950-13</x:t>
  </x:si>
  <x:si>
    <x:t xml:space="preserve">SCHIFTER KLEIMAN ADDY</x:t>
  </x:si>
  <x:si>
    <x:t xml:space="preserve">02-09-MED-0001641-13</x:t>
  </x:si>
  <x:si>
    <x:t xml:space="preserve">SALAS ROJAS FIORELLA</x:t>
  </x:si>
  <x:si>
    <x:t xml:space="preserve">02-09-MED-0002679-10</x:t>
  </x:si>
  <x:si>
    <x:t xml:space="preserve">HARARI DIANA JUSTA</x:t>
  </x:si>
  <x:si>
    <x:t xml:space="preserve">02-09-MED-0002979-06</x:t>
  </x:si>
  <x:si>
    <x:t xml:space="preserve">FREIMANN FREIMANN YORAM</x:t>
  </x:si>
  <x:si>
    <x:t xml:space="preserve">02-12-GFL-0000517-01</x:t>
  </x:si>
  <x:si>
    <x:t xml:space="preserve">PEREZ ARAYA WARREN ALBERTO</x:t>
  </x:si>
  <x:si>
    <x:t xml:space="preserve">02-12-GFL-0000518-01</x:t>
  </x:si>
  <x:si>
    <x:t xml:space="preserve">QUIROS AGUILAR ROBERTO</x:t>
  </x:si>
  <x:si>
    <x:t xml:space="preserve">02-12-GFL-0000519-01</x:t>
  </x:si>
  <x:si>
    <x:t xml:space="preserve">STEPHENSON GUZMAN EDSON EDUARD</x:t>
  </x:si>
  <x:si>
    <x:t xml:space="preserve">02-12-GFL-0000520-01</x:t>
  </x:si>
  <x:si>
    <x:t xml:space="preserve">VARGAS BERROCAL FABIAN DAVID</x:t>
  </x:si>
  <x:si>
    <x:t xml:space="preserve">02-12-GFL-0000523-01</x:t>
  </x:si>
  <x:si>
    <x:t xml:space="preserve">GARCIA CAMPOS JORGE CARLOS</x:t>
  </x:si>
  <x:si>
    <x:t xml:space="preserve">02-12-GFL-0000524-01</x:t>
  </x:si>
  <x:si>
    <x:t xml:space="preserve">MARTINEZ DIANA LORENA</x:t>
  </x:si>
  <x:si>
    <x:t xml:space="preserve">02-12-GFL-0000525-01</x:t>
  </x:si>
  <x:si>
    <x:t xml:space="preserve">VEGA MARIN GEANINA</x:t>
  </x:si>
  <x:si>
    <x:t xml:space="preserve">02-12-GFL-0000526-01</x:t>
  </x:si>
  <x:si>
    <x:t xml:space="preserve">VARGAS NAVARRO ARNOLD</x:t>
  </x:si>
  <x:si>
    <x:t xml:space="preserve">02-12-GFL-0000527-01</x:t>
  </x:si>
  <x:si>
    <x:t xml:space="preserve">ALFARO CHINCHILLA FABIAN</x:t>
  </x:si>
  <x:si>
    <x:t xml:space="preserve">02-12-GFL-0000528-01</x:t>
  </x:si>
  <x:si>
    <x:t xml:space="preserve">MORERA ALFARO GUSTAVO ADOLFO</x:t>
  </x:si>
  <x:si>
    <x:t xml:space="preserve">02-12-GFL-0000529-01</x:t>
  </x:si>
  <x:si>
    <x:t xml:space="preserve">CARMONA MONTERO JOSE DAVID</x:t>
  </x:si>
  <x:si>
    <x:t xml:space="preserve">02-12-GFL-0000530-01</x:t>
  </x:si>
  <x:si>
    <x:t xml:space="preserve">MORA FLORES JORGE EMILIO</x:t>
  </x:si>
  <x:si>
    <x:t xml:space="preserve">02-12-GFL-0000532-01</x:t>
  </x:si>
  <x:si>
    <x:t xml:space="preserve">FLORES SALAZAR ESTEFANI PAOLA</x:t>
  </x:si>
  <x:si>
    <x:t xml:space="preserve">02-12-GFL-0000533-01</x:t>
  </x:si>
  <x:si>
    <x:t xml:space="preserve">GONZALEZ SALAS KENNETH ALBERTO</x:t>
  </x:si>
  <x:si>
    <x:t xml:space="preserve">02-12-GFL-0000534-01</x:t>
  </x:si>
  <x:si>
    <x:t xml:space="preserve">CALDERON QUIROS MARCO VINICIO</x:t>
  </x:si>
  <x:si>
    <x:t xml:space="preserve">02-12-GFL-0000535-01</x:t>
  </x:si>
  <x:si>
    <x:t xml:space="preserve">BADILLA CASCANTE HILLARY DANIE</x:t>
  </x:si>
  <x:si>
    <x:t xml:space="preserve">02-12-GFL-0000536-01</x:t>
  </x:si>
  <x:si>
    <x:t xml:space="preserve">HERRERA ALFARO MARIANA</x:t>
  </x:si>
  <x:si>
    <x:t xml:space="preserve">02-12-GFL-0000537-01</x:t>
  </x:si>
  <x:si>
    <x:t xml:space="preserve">GARCIA ARAYA GENESIS FERNANDA</x:t>
  </x:si>
  <x:si>
    <x:t xml:space="preserve">02-12-GFL-0000538-01</x:t>
  </x:si>
  <x:si>
    <x:t xml:space="preserve">NU?EZ BLANCO MONICA ANDREA</x:t>
  </x:si>
  <x:si>
    <x:t xml:space="preserve">02-12-GFL-0000540-01</x:t>
  </x:si>
  <x:si>
    <x:t xml:space="preserve">PANIAGUA MORALES ESTEBAN</x:t>
  </x:si>
  <x:si>
    <x:t xml:space="preserve">02-12-GFL-0000541-01</x:t>
  </x:si>
  <x:si>
    <x:t xml:space="preserve">FLORES SALAZAR NATHALIE FERNAN</x:t>
  </x:si>
  <x:si>
    <x:t xml:space="preserve">02-12-GFL-0000542-01</x:t>
  </x:si>
  <x:si>
    <x:t xml:space="preserve">CHAVARRIA CRUZ ORLANDO ESTEBAN</x:t>
  </x:si>
  <x:si>
    <x:t xml:space="preserve">02-12-GFL-0000543-01</x:t>
  </x:si>
  <x:si>
    <x:t xml:space="preserve">GONZALEZ CASTELLANOS MIGUEL AN</x:t>
  </x:si>
  <x:si>
    <x:t xml:space="preserve">02-12-GFL-0000556-01</x:t>
  </x:si>
  <x:si>
    <x:t xml:space="preserve">HAMILTON CRISTIAN ANDRES</x:t>
  </x:si>
  <x:si>
    <x:t xml:space="preserve">02-12-GFL-0000557-01</x:t>
  </x:si>
  <x:si>
    <x:t xml:space="preserve">MADRIGAL HERRERA DERECK BRYAN</x:t>
  </x:si>
  <x:si>
    <x:t xml:space="preserve">02-12-GFL-0000560-01</x:t>
  </x:si>
  <x:si>
    <x:t xml:space="preserve">MONGE MARIN MOISES MAURICIO</x:t>
  </x:si>
  <x:si>
    <x:t xml:space="preserve">02-12-GFL-0000562-01</x:t>
  </x:si>
  <x:si>
    <x:t xml:space="preserve">SANCHEZ MEZA OSCAR STEVEN</x:t>
  </x:si>
  <x:si>
    <x:t xml:space="preserve">02-12-GFL-0000565-01</x:t>
  </x:si>
  <x:si>
    <x:t xml:space="preserve">NG MENA MELISSA DE LOS ANGELES</x:t>
  </x:si>
  <x:si>
    <x:t xml:space="preserve">02-12-GFL-0000571-01</x:t>
  </x:si>
  <x:si>
    <x:t xml:space="preserve">HANE CARIDI HENRY</x:t>
  </x:si>
  <x:si>
    <x:t xml:space="preserve">02-12-GFL-0000602-01</x:t>
  </x:si>
  <x:si>
    <x:t xml:space="preserve">GUZOWSKI COSIOL CAROL RAQUEL</x:t>
  </x:si>
  <x:si>
    <x:t xml:space="preserve">02-12-GFL-0000616-01</x:t>
  </x:si>
  <x:si>
    <x:t xml:space="preserve">GUTIERREZ MARENCO BRANDON DAVI</x:t>
  </x:si>
  <x:si>
    <x:t xml:space="preserve">02-12-GFL-0000618-01</x:t>
  </x:si>
  <x:si>
    <x:t xml:space="preserve">RANDALL RANDALL ZENE MONTGOMER</x:t>
  </x:si>
  <x:si>
    <x:t xml:space="preserve">02-12-GFL-0000628-01</x:t>
  </x:si>
  <x:si>
    <x:t xml:space="preserve">SIMON CASTA?EDA ROSA MARIA</x:t>
  </x:si>
  <x:si>
    <x:t xml:space="preserve">02-12-GFL-0000638-01</x:t>
  </x:si>
  <x:si>
    <x:t xml:space="preserve">VALVERDE ZAMORA LUIS ALEJANDRO</x:t>
  </x:si>
  <x:si>
    <x:t xml:space="preserve">02-12-GFL-0000654-01</x:t>
  </x:si>
  <x:si>
    <x:t xml:space="preserve">SANABRIA HERNANDEZ CARLOS ALBE</x:t>
  </x:si>
  <x:si>
    <x:t xml:space="preserve">02-12-GFL-0000735-01</x:t>
  </x:si>
  <x:si>
    <x:t xml:space="preserve">RODRIGUEZ MASIS KEVIN JOSUE</x:t>
  </x:si>
  <x:si>
    <x:t xml:space="preserve">02-12-GFL-0000736-00</x:t>
  </x:si>
  <x:si>
    <x:t xml:space="preserve">CORDERO CESPEDES KENNETH GUSTA</x:t>
  </x:si>
  <x:si>
    <x:t xml:space="preserve">02-12-GFL-0000741-00</x:t>
  </x:si>
  <x:si>
    <x:t xml:space="preserve">DE FREITAS ARIAS ANA GABRIELA</x:t>
  </x:si>
  <x:si>
    <x:t xml:space="preserve">02-12-GFL-0000756-00</x:t>
  </x:si>
  <x:si>
    <x:t xml:space="preserve">LIRMAN SUBERCASEAUX MATIAS</x:t>
  </x:si>
  <x:si>
    <x:t xml:space="preserve">02-12-GFL-0000772-00</x:t>
  </x:si>
  <x:si>
    <x:t xml:space="preserve">PERALTA CORONADO JOSE PABLO</x:t>
  </x:si>
  <x:si>
    <x:t xml:space="preserve">02-12-GFL-0000782-00</x:t>
  </x:si>
  <x:si>
    <x:t xml:space="preserve">HERNANDEZ MENDEZ LAURA JIMENA</x:t>
  </x:si>
  <x:si>
    <x:t xml:space="preserve">02-12-GFL-0000784-00</x:t>
  </x:si>
  <x:si>
    <x:t xml:space="preserve">MERCADO BARREDA LUCIANA</x:t>
  </x:si>
  <x:si>
    <x:t xml:space="preserve">02-12-GFL-0000810-00</x:t>
  </x:si>
  <x:si>
    <x:t xml:space="preserve">ARBELAEZ CHIRINOS IRIS</x:t>
  </x:si>
  <x:si>
    <x:t xml:space="preserve">02-12-MED-0000128-04</x:t>
  </x:si>
  <x:si>
    <x:t xml:space="preserve">SOLANO ROJAS BRAULIO JOSE</x:t>
  </x:si>
  <x:si>
    <x:t xml:space="preserve">02-12-MED-0000146-03</x:t>
  </x:si>
  <x:si>
    <x:t xml:space="preserve">BLAU WEINSTOCK GEORGE</x:t>
  </x:si>
  <x:si>
    <x:t xml:space="preserve">02-21-VIA-0411806-00</x:t>
  </x:si>
  <x:si>
    <x:t xml:space="preserve">ESCAMILLA VIDAL YOEL DAVID</x:t>
  </x:si>
  <x:si>
    <x:t xml:space="preserve">02-21-VIA-0411807-00</x:t>
  </x:si>
  <x:si>
    <x:t xml:space="preserve">ESCAMILLA CORDOBA JOSIAS JAVIE</x:t>
  </x:si>
  <x:si>
    <x:t xml:space="preserve">02-21-VIA-0411808-00</x:t>
  </x:si>
  <x:si>
    <x:t xml:space="preserve">VIDAL FLORES EMELYN ALEJANDRA</x:t>
  </x:si>
  <x:si>
    <x:t xml:space="preserve">02-21-VIA-0411903-00</x:t>
  </x:si>
  <x:si>
    <x:t xml:space="preserve">VARGAS GONZALEZ HORACIO ERNEST</x:t>
  </x:si>
  <x:si>
    <x:t xml:space="preserve">02-21-VIA-0413550-00</x:t>
  </x:si>
  <x:si>
    <x:t xml:space="preserve">MARIN MONTOYA ROY ANDRE</x:t>
  </x:si>
  <x:si>
    <x:t xml:space="preserve">02-21-VIA-0414269-00</x:t>
  </x:si>
  <x:si>
    <x:t xml:space="preserve">SOTELA MONTERO GERARDO JOAQUIN</x:t>
  </x:si>
  <x:si>
    <x:t xml:space="preserve">02-21-VIA-0414272-00</x:t>
  </x:si>
  <x:si>
    <x:t xml:space="preserve">GOLCHER GONZALEZ IRMA MARIA</x:t>
  </x:si>
  <x:si>
    <x:t xml:space="preserve">AU-287013-38994-0</x:t>
  </x:si>
  <x:si>
    <x:t xml:space="preserve">JOSEPH CHOMUT AMOS</x:t>
  </x:si>
  <x:si>
    <x:t xml:space="preserve">2012500003514</x:t>
  </x:si>
  <x:si>
    <x:t xml:space="preserve">RIVAS YANES, OSCAR  RENE</x:t>
  </x:si>
  <x:si>
    <x:t xml:space="preserve">2022500000244</x:t>
  </x:si>
  <x:si>
    <x:t xml:space="preserve">2702200000604</x:t>
  </x:si>
  <x:si>
    <x:t xml:space="preserve">CONDOMINIO HORIZONTAL VERTICAL</x:t>
  </x:si>
  <x:si>
    <x:t xml:space="preserve">PROT-356</x:t>
  </x:si>
  <x:si>
    <x:t xml:space="preserve">ALINEACION ONCE ONCE SOCIEDAD DE RESPONSABILIDAD LIMITADA</x:t>
  </x:si>
  <x:si>
    <x:t xml:space="preserve">0160027757</x:t>
  </x:si>
  <x:si>
    <x:t xml:space="preserve">SAMGURO S.A</x:t>
  </x:si>
  <x:si>
    <x:t xml:space="preserve">RESUMEN DE PAGOS - IQ Julio</x:t>
  </x:si>
  <x:si>
    <x:t xml:space="preserve">Corredor </x:t>
  </x:si>
  <x:si>
    <x:t xml:space="preserve">COLONES </x:t>
  </x:si>
  <x:si>
    <x:t xml:space="preserve">DOLARES</x:t>
  </x:si>
  <x:si>
    <x:t xml:space="preserve">ANDRES SEGURU</x:t>
  </x:si>
  <x:si>
    <x:t xml:space="preserve">REBAJOS:</x:t>
  </x:si>
  <x:si>
    <x:t xml:space="preserve">REBAJOS SALARIOS:</x:t>
  </x:si>
  <x:si>
    <x:t xml:space="preserve">SUBTOTAL:</x:t>
  </x:si>
  <x:si>
    <x:t xml:space="preserve">Bono Jeniffer</x:t>
  </x:si>
  <x:si>
    <x:t xml:space="preserve">Monto a facturar:</x:t>
  </x:si>
  <x:si>
    <x:t xml:space="preserve">REBAJO QUINCENAL POR CONCEPTO DE PAGO DE SALARIOS</x:t>
  </x:si>
  <x:si>
    <x:t xml:space="preserve">TOTAL MENSUAL</x:t>
  </x:si>
  <x:si>
    <x:t xml:space="preserve">QUINCENAL</x:t>
  </x:si>
  <x:si>
    <x:t xml:space="preserve">EUGENIA</x:t>
  </x:si>
  <x:si>
    <x:t xml:space="preserve">TOTAL REBAJO QUINCENAL</x:t>
  </x:si>
  <x:si>
    <x:t xml:space="preserve">Monto a favor </x:t>
  </x:si>
  <x:si>
    <x:t xml:space="preserve">TOTAL REBAJO </x:t>
  </x:si>
  <x:si>
    <x:t xml:space="preserve">MONTO EN DOLARES</x:t>
  </x:si>
  <x:si>
    <x:t xml:space="preserve">REBAJO EN COLONES</x:t>
  </x:si>
  <x:si>
    <x:t xml:space="preserve">Diferencia</x:t>
  </x:si>
  <x:si>
    <x:t xml:space="preserve">REBAJO EN DOLARES</x:t>
  </x:si>
  <x:si>
    <x:t xml:space="preserve">Salario</x:t>
  </x:si>
  <x:si>
    <x:t xml:space="preserve">CCSS</x:t>
  </x:si>
  <x:si>
    <x:t xml:space="preserve">Aguinaldo</x:t>
  </x:si>
  <x:si>
    <x:t xml:space="preserve">Vacaciones</x:t>
  </x:si>
  <x:si>
    <x:t xml:space="preserve">Preaviso</x:t>
  </x:si>
  <x:si>
    <x:t xml:space="preserve">Cesantía</x:t>
  </x:si>
  <x:si>
    <x:t xml:space="preserve">Total</x:t>
  </x:si>
  <x:si>
    <x:t xml:space="preserve">Quincenal</x:t>
  </x:si>
  <x:si>
    <x:t xml:space="preserve">JOSELYN ARAYA</x:t>
  </x:si>
  <x:si>
    <x:t xml:space="preserve">CRISTINA</x:t>
  </x:si>
  <x:si>
    <x:t xml:space="preserve">Fijo</x:t>
  </x:si>
  <x:si>
    <x:t xml:space="preserve">Estimado</x:t>
  </x:si>
</x:sst>
</file>

<file path=xl/styles.xml><?xml version="1.0" encoding="utf-8"?>
<x:styleSheet xmlns:x="http://schemas.openxmlformats.org/spreadsheetml/2006/main">
  <x:numFmts count="9">
    <x:numFmt numFmtId="44" formatCode="_-&quot;₡&quot;* #,##0.00_-;\-&quot;₡&quot;* #,##0.00_-;_-&quot;₡&quot;* &quot;-&quot;??_-;_-@_-"/>
    <x:numFmt numFmtId="43" formatCode="_-* #,##0.00_-;\-* #,##0.00_-;_-* &quot;-&quot;??_-;_-@_-"/>
    <x:numFmt numFmtId="164" formatCode="_(&quot;$&quot;* #,##0.00_);_(&quot;$&quot;* \(#,##0.00\);_(&quot;$&quot;* &quot;-&quot;??_);_(@_)"/>
    <x:numFmt numFmtId="165" formatCode="_(* #,##0.00_);_(* \(#,##0.00\);_(* &quot;-&quot;??_);_(@_)"/>
    <x:numFmt numFmtId="166" formatCode="_(&quot; &quot;* #,##0.00_);_(&quot; &quot;* \(#,##0.00\);_(&quot; &quot;* &quot;-&quot;??_);_(@_)"/>
    <x:numFmt numFmtId="167" formatCode="_-* #,##0.00\ _€_-;\-* #,##0.00\ _€_-;_-* &quot;-&quot;??\ _€_-;_-@_-"/>
    <x:numFmt numFmtId="168" formatCode="_(&quot;₡&quot;* #,##0.00_);_(&quot;₡&quot;* \(#,##0.00\);_(&quot;₡&quot;* &quot;-&quot;??_);_(@_)"/>
    <x:numFmt numFmtId="169" formatCode="_-[$₡-140A]* #,##0.00_-;\-[$₡-140A]* #,##0.00_-;_-[$₡-140A]* &quot;-&quot;??_-;_-@_-"/>
    <x:numFmt numFmtId="170" formatCode="_-&quot;$&quot;* #,##0.00_-;\-&quot;$&quot;* #,##0.00_-;_-&quot;$&quot;* &quot;-&quot;??_-;_-@_-"/>
  </x:numFmts>
  <x:fonts count="15">
    <x:font>
      <x:sz val="11"/>
      <x:color theme="1"/>
      <x:name val="Calibri"/>
    </x:font>
    <x:font>
      <x:sz val="11"/>
      <x:color theme="1"/>
      <x:name val="Calibri"/>
    </x:font>
    <x:font>
      <x:sz val="10"/>
      <x:name val="Arial"/>
    </x:font>
    <x:font>
      <x:sz val="10"/>
      <x:color rgb="FF000000"/>
      <x:name val="Times New Roman"/>
    </x:font>
    <x:font>
      <x:sz val="11"/>
      <x:color theme="0"/>
      <x:name val="Calibri"/>
    </x:font>
    <x:font>
      <x:b/>
      <x:sz val="11"/>
      <x:color theme="1"/>
      <x:name val="Calibri"/>
    </x:font>
    <x:font>
      <x:i/>
      <x:sz val="11"/>
      <x:color theme="1"/>
      <x:name val="Calibri"/>
    </x:font>
    <x:font>
      <x:sz val="10"/>
      <x:color indexed="8"/>
      <x:name val="Arial"/>
    </x:font>
    <x:font>
      <x:sz val="10"/>
      <x:color indexed="8"/>
      <x:name val="Arial"/>
    </x:font>
    <x:font>
      <x:sz val="11"/>
      <x:color rgb="FF000000"/>
      <x:name val="Calibri"/>
    </x:font>
    <x:font>
      <x:sz val="10"/>
      <x:color indexed="8"/>
      <x:name val="Arial"/>
    </x:font>
    <x:font>
      <x:sz val="11"/>
      <x:color theme="0"/>
      <x:name val="Aptos Narrow"/>
    </x:font>
    <x:font>
      <x:b/>
      <x:sz val="11"/>
      <x:color rgb="FFFFC000"/>
      <x:name val="Aptos Narrow"/>
    </x:font>
    <x:font>
      <x:b/>
      <x:sz val="11"/>
      <x:color theme="0"/>
      <x:name val="Calibri"/>
    </x:font>
    <x:font>
      <x:b/>
      <x:sz val="11"/>
      <x:color rgb="FFFFFFFF"/>
      <x:name val="Aptos Narrow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0070C0"/>
      </x:patternFill>
    </x:fill>
    <x:fill>
      <x:patternFill patternType="solid">
        <x:fgColor theme="3" tint="0.39998"/>
      </x:patternFill>
    </x:fill>
    <x:fill>
      <x:patternFill patternType="solid">
        <x:fgColor theme="4" tint="0.39998"/>
      </x:patternFill>
    </x:fill>
    <x:fill>
      <x:patternFill patternType="solid">
        <x:fgColor theme="4" tint="0.59999"/>
      </x:patternFill>
    </x:fill>
    <x:fill>
      <x:patternFill patternType="solid">
        <x:fgColor theme="0"/>
      </x:patternFill>
    </x:fill>
    <x:fill>
      <x:patternFill patternType="solid">
        <x:fgColor theme="3"/>
      </x:patternFill>
    </x:fill>
    <x:fill>
      <x:patternFill patternType="solid">
        <x:fgColor theme="3"/>
      </x:patternFill>
    </x:fill>
  </x:fills>
  <x:borders count="13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</x:border>
  </x:borders>
  <x:cellStyleXfs count="184">
    <x:xf numFmtId="0" fontId="0" fillId="0" borderId="0"/>
    <x:xf numFmtId="165" fontId="1" fillId="0" borderId="0" applyFont="0" applyFill="0" applyBorder="0" applyAlignment="0" applyProtection="0"/>
    <x:xf numFmtId="0" fontId="2" fillId="0" borderId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0" fontId="2" fillId="0" borderId="0"/>
    <x:xf numFmtId="0" fontId="2" fillId="0" borderId="0"/>
    <x:xf numFmtId="0" fontId="1" fillId="0" borderId="0"/>
    <x:xf numFmtId="0" fontId="2" fillId="0" borderId="0"/>
    <x:xf numFmtId="0" fontId="2" fillId="0" borderId="0"/>
    <x:xf numFmtId="0" fontId="2" fillId="0" borderId="0"/>
    <x:xf numFmtId="168" fontId="1" fillId="0" borderId="0" applyFont="0" applyFill="0" applyBorder="0" applyAlignment="0" applyProtection="0"/>
    <x:xf numFmtId="165" fontId="1" fillId="0" borderId="0" applyFont="0" applyFill="0" applyBorder="0" applyAlignment="0" applyProtection="0"/>
    <x:xf numFmtId="0" fontId="3" fillId="0" borderId="0"/>
    <x:xf numFmtId="166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5" fontId="1" fillId="0" borderId="0" applyFont="0" applyFill="0" applyBorder="0" applyAlignment="0" applyProtection="0"/>
    <x:xf numFmtId="164" fontId="1" fillId="0" borderId="0" applyFont="0" applyFill="0" applyBorder="0" applyAlignment="0" applyProtection="0"/>
    <x:xf numFmtId="9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70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0" fontId="1" fillId="0" borderId="0"/>
    <x:xf numFmtId="0" fontId="8" fillId="0" borderId="0">
      <x:alignment vertical="top"/>
    </x:xf>
    <x:xf numFmtId="9" fontId="8" fillId="0" borderId="0" applyFont="0" applyFill="0" applyBorder="0" applyAlignment="0" applyProtection="0">
      <x:alignment vertical="top"/>
    </x:xf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8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70" fontId="1" fillId="0" borderId="0" applyFont="0" applyFill="0" applyBorder="0" applyAlignment="0" applyProtection="0"/>
    <x:xf numFmtId="0" fontId="8" fillId="0" borderId="0">
      <x:alignment vertical="top"/>
    </x:xf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0" fontId="8" fillId="0" borderId="0">
      <x:alignment vertical="top"/>
    </x:xf>
    <x:xf numFmtId="168" fontId="1" fillId="0" borderId="0" applyFont="0" applyFill="0" applyBorder="0" applyAlignment="0" applyProtection="0"/>
    <x:xf numFmtId="0" fontId="9" fillId="0" borderId="0"/>
    <x:xf numFmtId="168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170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9" fontId="7" fillId="0" borderId="0" applyFont="0" applyFill="0" applyBorder="0" applyAlignment="0" applyProtection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10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7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</x:cellStyleXfs>
  <x:cellXfs count="64">
    <x:xf numFmtId="0" fontId="0" fillId="0" borderId="0" xfId="0"/>
    <x:xf numFmtId="0" fontId="0" fillId="0" borderId="1" xfId="0" applyBorder="1"/>
    <x:xf numFmtId="4" fontId="0" fillId="0" borderId="1" xfId="0" applyNumberFormat="1" applyBorder="1"/>
    <x:xf numFmtId="0" fontId="0" fillId="2" borderId="1" xfId="0" applyFill="1" applyBorder="1"/>
    <x:xf numFmtId="4" fontId="0" fillId="2" borderId="1" xfId="0" applyNumberFormat="1" applyFill="1" applyBorder="1"/>
    <x:xf numFmtId="4" fontId="0" fillId="0" borderId="0" xfId="0" applyNumberFormat="1"/>
    <x:xf numFmtId="0" fontId="0" fillId="0" borderId="9" xfId="0" applyBorder="1"/>
    <x:xf numFmtId="2" fontId="0" fillId="0" borderId="0" xfId="0" applyNumberFormat="1"/>
    <x:xf numFmtId="165" fontId="0" fillId="0" borderId="0" xfId="27" applyFont="1"/>
    <x:xf numFmtId="43" fontId="0" fillId="0" borderId="0" xfId="0" applyNumberFormat="1"/>
    <x:xf numFmtId="0" fontId="6" fillId="0" borderId="0" xfId="0" applyFont="1" applyAlignment="1">
      <x:alignment horizontal="center"/>
    </x:xf>
    <x:xf numFmtId="10" fontId="0" fillId="0" borderId="0" xfId="29" applyNumberFormat="1" applyFont="1"/>
    <x:xf numFmtId="165" fontId="5" fillId="0" borderId="0" xfId="27" applyFont="1"/>
    <x:xf numFmtId="0" fontId="5" fillId="0" borderId="0" xfId="0" applyFont="1"/>
    <x:xf numFmtId="167" fontId="0" fillId="0" borderId="0" xfId="0" applyNumberFormat="1"/>
    <x:xf numFmtId="0" fontId="0" fillId="0" borderId="0" xfId="0" applyAlignment="1">
      <x:alignment horizontal="center"/>
    </x:xf>
    <x:xf numFmtId="0" fontId="0" fillId="5" borderId="8" xfId="0" applyFill="1" applyBorder="1"/>
    <x:xf numFmtId="0" fontId="0" fillId="5" borderId="10" xfId="0" applyFill="1" applyBorder="1"/>
    <x:xf numFmtId="0" fontId="0" fillId="5" borderId="9" xfId="0" applyFill="1" applyBorder="1"/>
    <x:xf numFmtId="0" fontId="5" fillId="5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horizontal="center"/>
    </x:xf>
    <x:xf numFmtId="10" fontId="0" fillId="5" borderId="1" xfId="0" applyNumberFormat="1" applyFill="1" applyBorder="1" applyAlignment="1">
      <x:alignment horizontal="center"/>
    </x:xf>
    <x:xf numFmtId="10" fontId="0" fillId="5" borderId="1" xfId="29" applyNumberFormat="1" applyFont="1" applyFill="1" applyBorder="1" applyAlignment="1">
      <x:alignment horizontal="center"/>
    </x:xf>
    <x:xf numFmtId="0" fontId="5" fillId="5" borderId="1" xfId="0" applyFont="1" applyFill="1" applyBorder="1" applyAlignment="1">
      <x:alignment horizontal="center"/>
    </x:xf>
    <x:xf numFmtId="4" fontId="0" fillId="5" borderId="1" xfId="0" applyNumberFormat="1" applyFill="1" applyBorder="1"/>
    <x:xf numFmtId="164" fontId="0" fillId="0" borderId="0" xfId="28" applyFont="1" applyFill="1"/>
    <x:xf numFmtId="169" fontId="0" fillId="0" borderId="0" xfId="0" applyNumberFormat="1"/>
    <x:xf numFmtId="164" fontId="0" fillId="0" borderId="0" xfId="0" applyNumberFormat="1"/>
    <x:xf numFmtId="165" fontId="0" fillId="0" borderId="0" xfId="0" applyNumberFormat="1"/>
    <x:xf numFmtId="0" fontId="0" fillId="7" borderId="0" xfId="0" applyFill="1"/>
    <x:xf numFmtId="0" fontId="5" fillId="6" borderId="1" xfId="0" applyFont="1" applyFill="1" applyBorder="1"/>
    <x:xf numFmtId="0" fontId="0" fillId="6" borderId="1" xfId="0" applyFill="1" applyBorder="1"/>
    <x:xf numFmtId="165" fontId="0" fillId="6" borderId="1" xfId="0" applyNumberFormat="1" applyFill="1" applyBorder="1"/>
    <x:xf numFmtId="164" fontId="0" fillId="6" borderId="1" xfId="28" applyFont="1" applyFill="1" applyBorder="1"/>
    <x:xf numFmtId="169" fontId="0" fillId="6" borderId="1" xfId="28" applyNumberFormat="1" applyFont="1" applyFill="1" applyBorder="1"/>
    <x:xf numFmtId="0" fontId="5" fillId="4" borderId="1" xfId="0" applyFont="1" applyFill="1" applyBorder="1"/>
    <x:xf numFmtId="0" fontId="0" fillId="4" borderId="1" xfId="0" applyFill="1" applyBorder="1"/>
    <x:xf numFmtId="164" fontId="5" fillId="4" borderId="1" xfId="28" applyFont="1" applyFill="1" applyBorder="1"/>
    <x:xf numFmtId="0" fontId="0" fillId="0" borderId="0" xfId="0"/>
    <x:xf numFmtId="0" fontId="14" fillId="8" borderId="0" xfId="0" applyFont="1" applyFill="1" applyAlignment="1">
      <x:alignment vertical="center"/>
    </x:xf>
    <x:xf numFmtId="4" fontId="14" fillId="8" borderId="0" xfId="0" applyNumberFormat="1" applyFont="1" applyFill="1" applyAlignment="1">
      <x:alignment vertical="center"/>
    </x:xf>
    <x:xf numFmtId="4" fontId="13" fillId="9" borderId="0" xfId="0" applyNumberFormat="1" applyFont="1" applyFill="1"/>
    <x:xf numFmtId="4" fontId="0" fillId="0" borderId="11" xfId="0" applyNumberFormat="1" applyBorder="1"/>
    <x:xf numFmtId="43" fontId="0" fillId="0" borderId="0" xfId="26" applyFont="1" applyFill="1"/>
    <x:xf numFmtId="4" fontId="0" fillId="2" borderId="11" xfId="0" applyNumberFormat="1" applyFill="1" applyBorder="1"/>
    <x:xf numFmtId="0" fontId="0" fillId="0" borderId="12" xfId="0" applyBorder="1"/>
    <x:xf numFmtId="0" fontId="5" fillId="5" borderId="2" xfId="0" applyFont="1" applyFill="1" applyBorder="1" applyAlignment="1">
      <x:alignment horizontal="center"/>
    </x:xf>
    <x:xf numFmtId="0" fontId="5" fillId="5" borderId="3" xfId="0" applyFont="1" applyFill="1" applyBorder="1" applyAlignment="1">
      <x:alignment horizontal="center"/>
    </x:xf>
    <x:xf numFmtId="0" fontId="5" fillId="5" borderId="4" xfId="0" applyFont="1" applyFill="1" applyBorder="1" applyAlignment="1">
      <x:alignment horizontal="center"/>
    </x:xf>
    <x:xf numFmtId="4" fontId="11" fillId="9" borderId="0" xfId="0" applyNumberFormat="1" applyFont="1" applyFill="1" applyAlignment="1">
      <x:alignment horizontal="center"/>
    </x:xf>
    <x:xf numFmtId="4" fontId="12" fillId="9" borderId="0" xfId="0" applyNumberFormat="1" applyFont="1" applyFill="1" applyAlignment="1">
      <x:alignment horizontal="center"/>
    </x:xf>
    <x:xf numFmtId="0" fontId="4" fillId="3" borderId="3" xfId="0" applyFont="1" applyFill="1" applyBorder="1" applyAlignment="1">
      <x:alignment horizontal="center" vertical="center"/>
    </x:xf>
    <x:xf numFmtId="0" fontId="4" fillId="3" borderId="0" xfId="0" applyFont="1" applyFill="1" applyAlignment="1">
      <x:alignment horizontal="center" vertical="center"/>
    </x:xf>
    <x:xf numFmtId="0" fontId="4" fillId="3" borderId="6" xfId="0" applyFont="1" applyFill="1" applyBorder="1" applyAlignment="1">
      <x:alignment horizontal="center" vertical="center"/>
    </x:xf>
    <x:xf numFmtId="0" fontId="4" fillId="3" borderId="2" xfId="0" applyFont="1" applyFill="1" applyBorder="1" applyAlignment="1">
      <x:alignment horizontal="center"/>
    </x:xf>
    <x:xf numFmtId="0" fontId="4" fillId="3" borderId="3" xfId="0" applyFont="1" applyFill="1" applyBorder="1" applyAlignment="1">
      <x:alignment horizontal="center"/>
    </x:xf>
    <x:xf numFmtId="0" fontId="4" fillId="3" borderId="4" xfId="0" applyFont="1" applyFill="1" applyBorder="1" applyAlignment="1">
      <x:alignment horizontal="center"/>
    </x:xf>
    <x:xf numFmtId="0" fontId="4" fillId="3" borderId="5" xfId="0" applyFont="1" applyFill="1" applyBorder="1" applyAlignment="1">
      <x:alignment horizontal="center"/>
    </x:xf>
    <x:xf numFmtId="0" fontId="4" fillId="3" borderId="6" xfId="0" applyFont="1" applyFill="1" applyBorder="1" applyAlignment="1">
      <x:alignment horizontal="center"/>
    </x:xf>
    <x:xf numFmtId="0" fontId="4" fillId="3" borderId="7" xfId="0" applyFont="1" applyFill="1" applyBorder="1" applyAlignment="1">
      <x:alignment horizontal="center"/>
    </x:xf>
    <x:xf numFmtId="0" fontId="4" fillId="3" borderId="8" xfId="0" applyFont="1" applyFill="1" applyBorder="1" applyAlignment="1">
      <x:alignment horizontal="center"/>
    </x:xf>
    <x:xf numFmtId="0" fontId="4" fillId="3" borderId="9" xfId="0" applyFont="1" applyFill="1" applyBorder="1" applyAlignment="1">
      <x:alignment horizontal="center"/>
    </x:xf>
    <x:xf numFmtId="0" fontId="4" fillId="3" borderId="10" xfId="0" applyFont="1" applyFill="1" applyBorder="1" applyAlignment="1">
      <x:alignment horizontal="center"/>
    </x:xf>
  </x:cellXfs>
  <x:cellStyles count="184">
    <x:cellStyle name="Comma" xfId="27"/>
    <x:cellStyle name="Comma 2" xfId="17"/>
    <x:cellStyle name="Comma 2 2" xfId="25"/>
    <x:cellStyle name="Comma 2 2 2" xfId="75"/>
    <x:cellStyle name="Comma 2 2 2 2" xfId="147"/>
    <x:cellStyle name="Comma 2 2 3" xfId="96"/>
    <x:cellStyle name="Comma 2 2 3 2" xfId="165"/>
    <x:cellStyle name="Comma 2 2 4" xfId="102"/>
    <x:cellStyle name="Comma 2 2 4 2" xfId="170"/>
    <x:cellStyle name="Comma 2 2 5" xfId="125"/>
    <x:cellStyle name="Comma 2 3" xfId="67"/>
    <x:cellStyle name="Comma 2 3 2" xfId="137"/>
    <x:cellStyle name="Comma 2 4" xfId="85"/>
    <x:cellStyle name="Comma 2 4 2" xfId="153"/>
    <x:cellStyle name="Comma 2 5" xfId="101"/>
    <x:cellStyle name="Comma 2 5 2" xfId="169"/>
    <x:cellStyle name="Comma 2 6" xfId="113"/>
    <x:cellStyle name="Comma 3" xfId="18"/>
    <x:cellStyle name="Comma 3 2" xfId="24"/>
    <x:cellStyle name="Comma 3 2 2" xfId="74"/>
    <x:cellStyle name="Comma 3 2 2 2" xfId="146"/>
    <x:cellStyle name="Comma 3 2 3" xfId="95"/>
    <x:cellStyle name="Comma 3 2 3 2" xfId="164"/>
    <x:cellStyle name="Comma 3 2 4" xfId="106"/>
    <x:cellStyle name="Comma 3 2 4 2" xfId="175"/>
    <x:cellStyle name="Comma 3 2 5" xfId="124"/>
    <x:cellStyle name="Comma 3 3" xfId="68"/>
    <x:cellStyle name="Comma 3 3 2" xfId="141"/>
    <x:cellStyle name="Comma 3 4" xfId="89"/>
    <x:cellStyle name="Comma 3 4 2" xfId="157"/>
    <x:cellStyle name="Comma 3 5" xfId="104"/>
    <x:cellStyle name="Comma 3 5 2" xfId="172"/>
    <x:cellStyle name="Comma 3 6" xfId="114"/>
    <x:cellStyle name="Currency" xfId="28"/>
    <x:cellStyle name="Currency 2" xfId="52"/>
    <x:cellStyle name="Currency 2 2" xfId="127"/>
    <x:cellStyle name="Currency 3" xfId="36"/>
    <x:cellStyle name="Millares 2" xfId="1"/>
    <x:cellStyle name="Millares 2 2" xfId="5"/>
    <x:cellStyle name="Millares 2 2 2" xfId="26"/>
    <x:cellStyle name="Millares 2 2 2 2" xfId="41"/>
    <x:cellStyle name="Millares 2 2 2 2 2" xfId="79"/>
    <x:cellStyle name="Millares 2 2 2 2 2 2" xfId="149"/>
    <x:cellStyle name="Millares 2 2 2 2 3" xfId="98"/>
    <x:cellStyle name="Millares 2 2 2 2 3 2" xfId="167"/>
    <x:cellStyle name="Millares 2 2 2 2 4" xfId="133"/>
    <x:cellStyle name="Millares 2 2 2 3" xfId="47"/>
    <x:cellStyle name="Millares 2 2 2 3 2" xfId="142"/>
    <x:cellStyle name="Millares 2 2 2 4" xfId="90"/>
    <x:cellStyle name="Millares 2 2 2 4 2" xfId="158"/>
    <x:cellStyle name="Millares 2 2 2 5" xfId="107"/>
    <x:cellStyle name="Millares 2 2 2 5 2" xfId="176"/>
    <x:cellStyle name="Millares 2 2 2 6" xfId="118"/>
    <x:cellStyle name="Millares 2 2 3" xfId="31"/>
    <x:cellStyle name="Millares 2 2 4" xfId="37"/>
    <x:cellStyle name="Millares 2 2 5" xfId="44"/>
    <x:cellStyle name="Millares 2 3" xfId="14"/>
    <x:cellStyle name="Millares 2 3 2" xfId="21"/>
    <x:cellStyle name="Millares 2 3 2 2" xfId="58"/>
    <x:cellStyle name="Millares 2 3 2 2 2" xfId="111"/>
    <x:cellStyle name="Millares 2 3 2 2 2 2" xfId="181"/>
    <x:cellStyle name="Millares 2 3 2 2 3" xfId="130"/>
    <x:cellStyle name="Millares 2 3 2 3" xfId="73"/>
    <x:cellStyle name="Millares 2 3 2 3 2" xfId="163"/>
    <x:cellStyle name="Millares 2 3 2 4" xfId="123"/>
    <x:cellStyle name="Millares 2 3 3" xfId="34"/>
    <x:cellStyle name="Millares 2 3 3 2" xfId="72"/>
    <x:cellStyle name="Millares 2 3 3 2 2" xfId="145"/>
    <x:cellStyle name="Millares 2 3 3 3" xfId="93"/>
    <x:cellStyle name="Millares 2 3 3 3 2" xfId="161"/>
    <x:cellStyle name="Millares 2 3 3 4" xfId="121"/>
    <x:cellStyle name="Millares 2 3 4" xfId="46"/>
    <x:cellStyle name="Millares 2 3 4 2" xfId="136"/>
    <x:cellStyle name="Millares 2 3 5" xfId="84"/>
    <x:cellStyle name="Millares 2 3 5 2" xfId="152"/>
    <x:cellStyle name="Millares 2 3 6" xfId="103"/>
    <x:cellStyle name="Millares 2 3 6 2" xfId="171"/>
    <x:cellStyle name="Millares 2 4" xfId="4"/>
    <x:cellStyle name="Millares 2 5" xfId="19"/>
    <x:cellStyle name="Millares 2 5 2" xfId="69"/>
    <x:cellStyle name="Millares 2 5 2 2" xfId="140"/>
    <x:cellStyle name="Millares 2 5 3" xfId="88"/>
    <x:cellStyle name="Millares 2 5 3 2" xfId="156"/>
    <x:cellStyle name="Millares 2 5 4" xfId="109"/>
    <x:cellStyle name="Millares 2 5 4 2" xfId="179"/>
    <x:cellStyle name="Millares 2 5 5" xfId="115"/>
    <x:cellStyle name="Millares 2 6" xfId="30"/>
    <x:cellStyle name="Millares 2 6 2" xfId="61"/>
    <x:cellStyle name="Millares 2 6 2 2" xfId="143"/>
    <x:cellStyle name="Millares 2 6 3" xfId="91"/>
    <x:cellStyle name="Millares 2 6 3 2" xfId="159"/>
    <x:cellStyle name="Millares 2 6 4" xfId="119"/>
    <x:cellStyle name="Millares 2 7" xfId="43"/>
    <x:cellStyle name="Millares 2 7 2" xfId="134"/>
    <x:cellStyle name="Millares 2 8" xfId="82"/>
    <x:cellStyle name="Millares 2 8 2" xfId="150"/>
    <x:cellStyle name="Millares 2 9" xfId="100"/>
    <x:cellStyle name="Millares 2 9 2" xfId="168"/>
    <x:cellStyle name="Millares 3" xfId="6"/>
    <x:cellStyle name="Millares 3 2" xfId="22"/>
    <x:cellStyle name="Millares 3 2 2" xfId="39"/>
    <x:cellStyle name="Millares 3 2 2 2" xfId="78"/>
    <x:cellStyle name="Millares 3 2 2 2 2" xfId="148"/>
    <x:cellStyle name="Millares 3 2 2 3" xfId="97"/>
    <x:cellStyle name="Millares 3 2 2 3 2" xfId="166"/>
    <x:cellStyle name="Millares 3 2 2 4" xfId="132"/>
    <x:cellStyle name="Millares 3 2 3" xfId="45"/>
    <x:cellStyle name="Millares 3 2 3 2" xfId="139"/>
    <x:cellStyle name="Millares 3 2 4" xfId="87"/>
    <x:cellStyle name="Millares 3 2 4 2" xfId="155"/>
    <x:cellStyle name="Millares 3 2 5" xfId="108"/>
    <x:cellStyle name="Millares 3 2 5 2" xfId="177"/>
    <x:cellStyle name="Millares 3 2 6" xfId="117"/>
    <x:cellStyle name="Millares 3 3" xfId="38"/>
    <x:cellStyle name="Millares 3 3 2" xfId="56"/>
    <x:cellStyle name="Millares 3 3 3" xfId="53"/>
    <x:cellStyle name="Millares 3 3 3 2" xfId="174"/>
    <x:cellStyle name="Millares 3 3 4" xfId="128"/>
    <x:cellStyle name="Millares 3 4" xfId="42"/>
    <x:cellStyle name="Millares 4" xfId="3"/>
    <x:cellStyle name="Millares 4 2" xfId="23"/>
    <x:cellStyle name="Millares 4 2 2" xfId="70"/>
    <x:cellStyle name="Millares 4 2 2 2" xfId="138"/>
    <x:cellStyle name="Millares 4 2 3" xfId="86"/>
    <x:cellStyle name="Millares 4 2 3 2" xfId="154"/>
    <x:cellStyle name="Millares 4 2 4" xfId="105"/>
    <x:cellStyle name="Millares 4 2 4 2" xfId="173"/>
    <x:cellStyle name="Millares 4 2 5" xfId="116"/>
    <x:cellStyle name="Millares 4 3" xfId="55"/>
    <x:cellStyle name="Millares 5" xfId="112"/>
    <x:cellStyle name="Millares 5 2" xfId="182"/>
    <x:cellStyle name="Millares 6" xfId="183"/>
    <x:cellStyle name="Moneda 2" xfId="13"/>
    <x:cellStyle name="Moneda 2 2" xfId="16"/>
    <x:cellStyle name="Moneda 2 3" xfId="20"/>
    <x:cellStyle name="Moneda 2 3 2" xfId="57"/>
    <x:cellStyle name="Moneda 2 3 2 2" xfId="129"/>
    <x:cellStyle name="Moneda 2 3 3" xfId="64"/>
    <x:cellStyle name="Moneda 2 3 3 2" xfId="94"/>
    <x:cellStyle name="Moneda 2 3 3 2 2" xfId="162"/>
    <x:cellStyle name="Moneda 2 3 4" xfId="54"/>
    <x:cellStyle name="Moneda 2 3 4 2" xfId="178"/>
    <x:cellStyle name="Moneda 2 3 5" xfId="122"/>
    <x:cellStyle name="Moneda 2 4" xfId="33"/>
    <x:cellStyle name="Moneda 2 4 2" xfId="81"/>
    <x:cellStyle name="Moneda 2 4 2 2" xfId="144"/>
    <x:cellStyle name="Moneda 2 4 3" xfId="92"/>
    <x:cellStyle name="Moneda 2 4 3 2" xfId="160"/>
    <x:cellStyle name="Moneda 2 4 4" xfId="120"/>
    <x:cellStyle name="Moneda 2 5" xfId="66"/>
    <x:cellStyle name="Moneda 2 5 2" xfId="80"/>
    <x:cellStyle name="Moneda 2 5 3" xfId="135"/>
    <x:cellStyle name="Moneda 2 6" xfId="83"/>
    <x:cellStyle name="Moneda 2 6 2" xfId="151"/>
    <x:cellStyle name="Moneda 3" xfId="32"/>
    <x:cellStyle name="Moneda 3 2" xfId="35"/>
    <x:cellStyle name="Moneda 3 2 2" xfId="62"/>
    <x:cellStyle name="Moneda 3 2 2 2" xfId="77"/>
    <x:cellStyle name="Moneda 3 2 3" xfId="76"/>
    <x:cellStyle name="Moneda 3 3" xfId="59"/>
    <x:cellStyle name="Moneda 3 4" xfId="48"/>
    <x:cellStyle name="Normal" xfId="0"/>
    <x:cellStyle name="Normal 15" xfId="49"/>
    <x:cellStyle name="Normal 2" xfId="7"/>
    <x:cellStyle name="Normal 2 2" xfId="8"/>
    <x:cellStyle name="Normal 2 3" xfId="15"/>
    <x:cellStyle name="Normal 2 4" xfId="40"/>
    <x:cellStyle name="Normal 2 4 2" xfId="60"/>
    <x:cellStyle name="Normal 2 4 2 2" xfId="110"/>
    <x:cellStyle name="Normal 2 4 2 2 2" xfId="180"/>
    <x:cellStyle name="Normal 2 4 2 3" xfId="131"/>
    <x:cellStyle name="Normal 2 4 3" xfId="71"/>
    <x:cellStyle name="Normal 2 5" xfId="63"/>
    <x:cellStyle name="Normal 2 5 2" xfId="126"/>
    <x:cellStyle name="Normal 2 6" xfId="50"/>
    <x:cellStyle name="Normal 3" xfId="9"/>
    <x:cellStyle name="Normal 4" xfId="10"/>
    <x:cellStyle name="Normal 4 2" xfId="11"/>
    <x:cellStyle name="Normal 5" xfId="12"/>
    <x:cellStyle name="Normal 6" xfId="2"/>
    <x:cellStyle name="Normal 7" xfId="65"/>
    <x:cellStyle name="Percent" xfId="29"/>
    <x:cellStyle name="Porcentaje 2" xfId="51"/>
    <x:cellStyle name="Porcentaje 2 2" xfId="99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9852cbb7194b79" /><Relationship Type="http://schemas.openxmlformats.org/officeDocument/2006/relationships/theme" Target="/xl/theme/theme1.xml" Id="R746b3e7f27134ebe" /><Relationship Type="http://schemas.openxmlformats.org/officeDocument/2006/relationships/sharedStrings" Target="/xl/sharedStrings.xml" Id="R4a4260d49f2840ca" /><Relationship Type="http://schemas.openxmlformats.org/officeDocument/2006/relationships/worksheet" Target="/xl/worksheets/sheet1.xml" Id="Ra077450a986e4c61" /><Relationship Type="http://schemas.openxmlformats.org/officeDocument/2006/relationships/worksheet" Target="/xl/worksheets/sheet2.xml" Id="R64ad21dca1164e70" /><Relationship Type="http://schemas.openxmlformats.org/officeDocument/2006/relationships/worksheet" Target="/xl/worksheets/sheet3.xml" Id="Rb4d159ffda0447e2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1.5546875" defaultRowHeight="14.399999618530273"/>
  <x:cols>
    <x:col min="2" max="2" width="23" customWidth="1"/>
    <x:col min="4" max="4" width="39" customWidth="1"/>
    <x:col min="9" max="9" width="14.109375" customWidth="1"/>
  </x:cols>
  <x:sheetData>
    <x:row r="1">
      <x:c r="A1" s="40" t="s">
        <x:v>0</x:v>
      </x:c>
      <x:c r="B1" s="40" t="s">
        <x:v>1</x:v>
      </x:c>
      <x:c r="C1" s="40" t="s">
        <x:v>2</x:v>
      </x:c>
      <x:c r="D1" s="40" t="s">
        <x:v>3</x:v>
      </x:c>
      <x:c r="E1" s="40" t="s">
        <x:v>4</x:v>
      </x:c>
      <x:c r="F1" s="40" t="s">
        <x:v>5</x:v>
      </x:c>
      <x:c r="G1" s="40" t="s">
        <x:v>6</x:v>
      </x:c>
      <x:c r="H1" s="40" t="s">
        <x:v>7</x:v>
      </x:c>
      <x:c r="I1" s="41" t="s">
        <x:v>8</x:v>
      </x:c>
      <x:c r="J1" s="42" t="s">
        <x:v>9</x:v>
      </x:c>
      <x:c r="K1" s="41" t="s">
        <x:v>10</x:v>
      </x:c>
      <x:c r="L1" s="41" t="s">
        <x:v>11</x:v>
      </x:c>
      <x:c r="M1" s="41" t="s">
        <x:v>12</x:v>
      </x:c>
      <x:c r="N1" s="41" t="s">
        <x:v>13</x:v>
      </x:c>
      <x:c r="O1" s="40" t="s">
        <x:v>14</x:v>
      </x:c>
    </x:row>
    <x:row r="2">
      <x:c r="A2" s="39" t="s">
        <x:v>15</x:v>
      </x:c>
      <x:c r="B2" s="39" t="s">
        <x:v>16</x:v>
      </x:c>
      <x:c r="C2" s="39" t="s">
        <x:v>17</x:v>
      </x:c>
      <x:c r="D2" s="39" t="s">
        <x:v>18</x:v>
      </x:c>
      <x:c r="E2" s="39" t="s">
        <x:v>19</x:v>
      </x:c>
      <x:c r="F2" s="39" t="s">
        <x:v>20</x:v>
      </x:c>
      <x:c r="G2" s="39" t="s">
        <x:v>21</x:v>
      </x:c>
      <x:c r="H2" s="39" t="s">
        <x:v>22</x:v>
      </x:c>
      <x:c r="I2" s="44">
        <x:v>2454656</x:v>
      </x:c>
      <x:c r="J2" s="44">
        <x:v>122733</x:v>
      </x:c>
      <x:c r="K2" s="39" t="s">
        <x:v>23</x:v>
      </x:c>
      <x:c r="L2" s="44">
        <x:v>110459.7</x:v>
      </x:c>
      <x:c r="M2" s="44">
        <x:v>2209.194</x:v>
      </x:c>
      <x:c r="N2" s="44">
        <x:v>108250.50599999999</x:v>
      </x:c>
    </x:row>
    <x:row r="3">
      <x:c r="A3" s="39" t="s">
        <x:v>15</x:v>
      </x:c>
      <x:c r="B3" s="39" t="s">
        <x:v>16</x:v>
      </x:c>
      <x:c r="C3" s="39" t="s">
        <x:v>24</x:v>
      </x:c>
      <x:c r="D3" s="39" t="s">
        <x:v>25</x:v>
      </x:c>
      <x:c r="E3" s="39" t="s">
        <x:v>19</x:v>
      </x:c>
      <x:c r="F3" s="39" t="s">
        <x:v>20</x:v>
      </x:c>
      <x:c r="G3" s="39" t="s">
        <x:v>21</x:v>
      </x:c>
      <x:c r="H3" s="39" t="s">
        <x:v>22</x:v>
      </x:c>
      <x:c r="I3" s="44">
        <x:v>65435</x:v>
      </x:c>
      <x:c r="J3" s="44">
        <x:v>3272</x:v>
      </x:c>
      <x:c r="K3" s="39" t="s">
        <x:v>23</x:v>
      </x:c>
      <x:c r="L3" s="44">
        <x:v>2944.8</x:v>
      </x:c>
      <x:c r="M3" s="44">
        <x:v>58.896000000000008</x:v>
      </x:c>
      <x:c r="N3" s="44">
        <x:v>2885.904</x:v>
      </x:c>
    </x:row>
    <x:row r="4">
      <x:c r="A4" s="39" t="s">
        <x:v>15</x:v>
      </x:c>
      <x:c r="B4" s="39" t="s">
        <x:v>16</x:v>
      </x:c>
      <x:c r="C4" s="39" t="s">
        <x:v>26</x:v>
      </x:c>
      <x:c r="D4" s="39" t="s">
        <x:v>27</x:v>
      </x:c>
      <x:c r="E4" s="39" t="s">
        <x:v>19</x:v>
      </x:c>
      <x:c r="F4" s="39" t="s">
        <x:v>20</x:v>
      </x:c>
      <x:c r="G4" s="39" t="s">
        <x:v>21</x:v>
      </x:c>
      <x:c r="H4" s="39" t="s">
        <x:v>22</x:v>
      </x:c>
      <x:c r="I4" s="44">
        <x:v>37422</x:v>
      </x:c>
      <x:c r="J4" s="44">
        <x:v>1872</x:v>
      </x:c>
      <x:c r="K4" s="39" t="s">
        <x:v>23</x:v>
      </x:c>
      <x:c r="L4" s="44">
        <x:v>1684.8</x:v>
      </x:c>
      <x:c r="M4" s="44">
        <x:v>33.695999999999998</x:v>
      </x:c>
      <x:c r="N4" s="44">
        <x:v>1651.104</x:v>
      </x:c>
    </x:row>
    <x:row r="5">
      <x:c r="A5" s="39" t="s">
        <x:v>15</x:v>
      </x:c>
      <x:c r="B5" s="39" t="s">
        <x:v>16</x:v>
      </x:c>
      <x:c r="C5" s="39" t="s">
        <x:v>28</x:v>
      </x:c>
      <x:c r="D5" s="39" t="s">
        <x:v>29</x:v>
      </x:c>
      <x:c r="E5" s="39" t="s">
        <x:v>19</x:v>
      </x:c>
      <x:c r="F5" s="39" t="s">
        <x:v>20</x:v>
      </x:c>
      <x:c r="G5" s="39" t="s">
        <x:v>21</x:v>
      </x:c>
      <x:c r="H5" s="39" t="s">
        <x:v>22</x:v>
      </x:c>
      <x:c r="I5" s="44">
        <x:v>101135</x:v>
      </x:c>
      <x:c r="J5" s="44">
        <x:v>5057</x:v>
      </x:c>
      <x:c r="K5" s="39" t="s">
        <x:v>23</x:v>
      </x:c>
      <x:c r="L5" s="44">
        <x:v>4551.3</x:v>
      </x:c>
      <x:c r="M5" s="44">
        <x:v>91.02600000000001</x:v>
      </x:c>
      <x:c r="N5" s="44">
        <x:v>4460.2740000000003</x:v>
      </x:c>
    </x:row>
    <x:row r="6">
      <x:c r="A6" s="39" t="s">
        <x:v>15</x:v>
      </x:c>
      <x:c r="B6" s="39" t="s">
        <x:v>16</x:v>
      </x:c>
      <x:c r="C6" s="39" t="s">
        <x:v>30</x:v>
      </x:c>
      <x:c r="D6" s="39" t="s">
        <x:v>31</x:v>
      </x:c>
      <x:c r="E6" s="39" t="s">
        <x:v>19</x:v>
      </x:c>
      <x:c r="F6" s="39" t="s">
        <x:v>32</x:v>
      </x:c>
      <x:c r="G6" s="39" t="s">
        <x:v>33</x:v>
      </x:c>
      <x:c r="H6" s="39" t="s">
        <x:v>22</x:v>
      </x:c>
      <x:c r="I6" s="44">
        <x:v>38220</x:v>
      </x:c>
      <x:c r="J6" s="44">
        <x:v>5733</x:v>
      </x:c>
      <x:c r="K6" s="39" t="s">
        <x:v>23</x:v>
      </x:c>
      <x:c r="L6" s="44">
        <x:v>5159.7</x:v>
      </x:c>
      <x:c r="M6" s="44">
        <x:v>103.194</x:v>
      </x:c>
      <x:c r="N6" s="44">
        <x:v>5056.5059999999994</x:v>
      </x:c>
    </x:row>
    <x:row r="7">
      <x:c r="A7" s="39" t="s">
        <x:v>15</x:v>
      </x:c>
      <x:c r="B7" s="39" t="s">
        <x:v>16</x:v>
      </x:c>
      <x:c r="C7" s="39" t="s">
        <x:v>34</x:v>
      </x:c>
      <x:c r="D7" s="39" t="s">
        <x:v>35</x:v>
      </x:c>
      <x:c r="E7" s="39" t="s">
        <x:v>19</x:v>
      </x:c>
      <x:c r="F7" s="39" t="s">
        <x:v>32</x:v>
      </x:c>
      <x:c r="G7" s="39" t="s">
        <x:v>33</x:v>
      </x:c>
      <x:c r="H7" s="39" t="s">
        <x:v>22</x:v>
      </x:c>
      <x:c r="I7" s="44">
        <x:v>26389</x:v>
      </x:c>
      <x:c r="J7" s="44">
        <x:v>3958</x:v>
      </x:c>
      <x:c r="K7" s="39" t="s">
        <x:v>23</x:v>
      </x:c>
      <x:c r="L7" s="44">
        <x:v>3562.2000000000003</x:v>
      </x:c>
      <x:c r="M7" s="44">
        <x:v>71.244000000000014</x:v>
      </x:c>
      <x:c r="N7" s="44">
        <x:v>3490.9560000000001</x:v>
      </x:c>
    </x:row>
    <x:row r="8">
      <x:c r="A8" s="39" t="s">
        <x:v>15</x:v>
      </x:c>
      <x:c r="B8" s="39" t="s">
        <x:v>16</x:v>
      </x:c>
      <x:c r="C8" s="39" t="s">
        <x:v>36</x:v>
      </x:c>
      <x:c r="D8" s="39" t="s">
        <x:v>37</x:v>
      </x:c>
      <x:c r="E8" s="39" t="s">
        <x:v>19</x:v>
      </x:c>
      <x:c r="F8" s="39" t="s">
        <x:v>32</x:v>
      </x:c>
      <x:c r="G8" s="39" t="s">
        <x:v>33</x:v>
      </x:c>
      <x:c r="H8" s="39" t="s">
        <x:v>22</x:v>
      </x:c>
      <x:c r="I8" s="44">
        <x:v>447068</x:v>
      </x:c>
      <x:c r="J8" s="44">
        <x:v>67060</x:v>
      </x:c>
      <x:c r="K8" s="39" t="s">
        <x:v>23</x:v>
      </x:c>
      <x:c r="L8" s="44">
        <x:v>60354</x:v>
      </x:c>
      <x:c r="M8" s="44">
        <x:v>1207.08</x:v>
      </x:c>
      <x:c r="N8" s="44">
        <x:v>59146.92</x:v>
      </x:c>
    </x:row>
    <x:row r="9">
      <x:c r="A9" s="39" t="s">
        <x:v>15</x:v>
      </x:c>
      <x:c r="B9" s="39" t="s">
        <x:v>16</x:v>
      </x:c>
      <x:c r="C9" s="39" t="s">
        <x:v>38</x:v>
      </x:c>
      <x:c r="D9" s="39" t="s">
        <x:v>39</x:v>
      </x:c>
      <x:c r="E9" s="39" t="s">
        <x:v>19</x:v>
      </x:c>
      <x:c r="F9" s="39" t="s">
        <x:v>32</x:v>
      </x:c>
      <x:c r="G9" s="39" t="s">
        <x:v>33</x:v>
      </x:c>
      <x:c r="H9" s="39" t="s">
        <x:v>22</x:v>
      </x:c>
      <x:c r="I9" s="44">
        <x:v>7321</x:v>
      </x:c>
      <x:c r="J9" s="44">
        <x:v>1098</x:v>
      </x:c>
      <x:c r="K9" s="39" t="s">
        <x:v>23</x:v>
      </x:c>
      <x:c r="L9" s="44">
        <x:v>988.2</x:v>
      </x:c>
      <x:c r="M9" s="44">
        <x:v>19.764000000000003</x:v>
      </x:c>
      <x:c r="N9" s="44">
        <x:v>968.43600000000004</x:v>
      </x:c>
    </x:row>
    <x:row r="10">
      <x:c r="A10" s="39" t="s">
        <x:v>15</x:v>
      </x:c>
      <x:c r="B10" s="39" t="s">
        <x:v>16</x:v>
      </x:c>
      <x:c r="C10" s="39" t="s">
        <x:v>40</x:v>
      </x:c>
      <x:c r="D10" s="39" t="s">
        <x:v>41</x:v>
      </x:c>
      <x:c r="E10" s="39" t="s">
        <x:v>19</x:v>
      </x:c>
      <x:c r="F10" s="39" t="s">
        <x:v>32</x:v>
      </x:c>
      <x:c r="G10" s="39" t="s">
        <x:v>33</x:v>
      </x:c>
      <x:c r="H10" s="39" t="s">
        <x:v>22</x:v>
      </x:c>
      <x:c r="I10" s="44">
        <x:v>32595</x:v>
      </x:c>
      <x:c r="J10" s="44">
        <x:v>4889</x:v>
      </x:c>
      <x:c r="K10" s="39" t="s">
        <x:v>23</x:v>
      </x:c>
      <x:c r="L10" s="44">
        <x:v>4400.1000000000004</x:v>
      </x:c>
      <x:c r="M10" s="44">
        <x:v>88.00200000000001</x:v>
      </x:c>
      <x:c r="N10" s="44">
        <x:v>4312.098</x:v>
      </x:c>
    </x:row>
    <x:row r="11">
      <x:c r="A11" s="39" t="s">
        <x:v>15</x:v>
      </x:c>
      <x:c r="B11" s="39" t="s">
        <x:v>16</x:v>
      </x:c>
      <x:c r="C11" s="39" t="s">
        <x:v>42</x:v>
      </x:c>
      <x:c r="D11" s="39" t="s">
        <x:v>43</x:v>
      </x:c>
      <x:c r="E11" s="39" t="s">
        <x:v>19</x:v>
      </x:c>
      <x:c r="F11" s="39" t="s">
        <x:v>20</x:v>
      </x:c>
      <x:c r="G11" s="39" t="s">
        <x:v>33</x:v>
      </x:c>
      <x:c r="H11" s="39" t="s">
        <x:v>22</x:v>
      </x:c>
      <x:c r="I11" s="44">
        <x:v>11935</x:v>
      </x:c>
      <x:c r="J11" s="44">
        <x:v>2506</x:v>
      </x:c>
      <x:c r="K11" s="39" t="s">
        <x:v>23</x:v>
      </x:c>
      <x:c r="L11" s="44">
        <x:v>2255.4</x:v>
      </x:c>
      <x:c r="M11" s="44">
        <x:v>45.108000000000004</x:v>
      </x:c>
      <x:c r="N11" s="44">
        <x:v>2210.2919999999999</x:v>
      </x:c>
    </x:row>
    <x:row r="12">
      <x:c r="A12" s="39" t="s">
        <x:v>15</x:v>
      </x:c>
      <x:c r="B12" s="39" t="s">
        <x:v>16</x:v>
      </x:c>
      <x:c r="C12" s="39" t="s">
        <x:v>44</x:v>
      </x:c>
      <x:c r="D12" s="39" t="s">
        <x:v>45</x:v>
      </x:c>
      <x:c r="E12" s="39" t="s">
        <x:v>19</x:v>
      </x:c>
      <x:c r="F12" s="39" t="s">
        <x:v>20</x:v>
      </x:c>
      <x:c r="G12" s="39" t="s">
        <x:v>33</x:v>
      </x:c>
      <x:c r="H12" s="39" t="s">
        <x:v>22</x:v>
      </x:c>
      <x:c r="I12" s="44">
        <x:v>141896</x:v>
      </x:c>
      <x:c r="J12" s="44">
        <x:v>29798</x:v>
      </x:c>
      <x:c r="K12" s="39" t="s">
        <x:v>23</x:v>
      </x:c>
      <x:c r="L12" s="44">
        <x:v>26818.2</x:v>
      </x:c>
      <x:c r="M12" s="44">
        <x:v>536.36400000000003</x:v>
      </x:c>
      <x:c r="N12" s="44">
        <x:v>26281.835999999999</x:v>
      </x:c>
    </x:row>
    <x:row r="13">
      <x:c r="A13" s="39" t="s">
        <x:v>15</x:v>
      </x:c>
      <x:c r="B13" s="39" t="s">
        <x:v>16</x:v>
      </x:c>
      <x:c r="C13" s="39" t="s">
        <x:v>46</x:v>
      </x:c>
      <x:c r="D13" s="39" t="s">
        <x:v>45</x:v>
      </x:c>
      <x:c r="E13" s="39" t="s">
        <x:v>19</x:v>
      </x:c>
      <x:c r="F13" s="39" t="s">
        <x:v>20</x:v>
      </x:c>
      <x:c r="G13" s="39" t="s">
        <x:v>33</x:v>
      </x:c>
      <x:c r="H13" s="39" t="s">
        <x:v>22</x:v>
      </x:c>
      <x:c r="I13" s="44">
        <x:v>17898</x:v>
      </x:c>
      <x:c r="J13" s="44">
        <x:v>3759</x:v>
      </x:c>
      <x:c r="K13" s="39" t="s">
        <x:v>23</x:v>
      </x:c>
      <x:c r="L13" s="44">
        <x:v>3383.1</x:v>
      </x:c>
      <x:c r="M13" s="44">
        <x:v>67.662000000000006</x:v>
      </x:c>
      <x:c r="N13" s="44">
        <x:v>3315.4380000000001</x:v>
      </x:c>
    </x:row>
    <x:row r="14">
      <x:c r="A14" s="39" t="s">
        <x:v>15</x:v>
      </x:c>
      <x:c r="B14" s="39" t="s">
        <x:v>16</x:v>
      </x:c>
      <x:c r="C14" s="39" t="s">
        <x:v>47</x:v>
      </x:c>
      <x:c r="D14" s="39" t="s">
        <x:v>45</x:v>
      </x:c>
      <x:c r="E14" s="39" t="s">
        <x:v>19</x:v>
      </x:c>
      <x:c r="F14" s="39" t="s">
        <x:v>20</x:v>
      </x:c>
      <x:c r="G14" s="39" t="s">
        <x:v>33</x:v>
      </x:c>
      <x:c r="H14" s="39" t="s">
        <x:v>22</x:v>
      </x:c>
      <x:c r="I14" s="44">
        <x:v>17898</x:v>
      </x:c>
      <x:c r="J14" s="44">
        <x:v>3759</x:v>
      </x:c>
      <x:c r="K14" s="39" t="s">
        <x:v>23</x:v>
      </x:c>
      <x:c r="L14" s="44">
        <x:v>3383.1</x:v>
      </x:c>
      <x:c r="M14" s="44">
        <x:v>67.662000000000006</x:v>
      </x:c>
      <x:c r="N14" s="44">
        <x:v>3315.4380000000001</x:v>
      </x:c>
    </x:row>
    <x:row r="15">
      <x:c r="A15" s="39" t="s">
        <x:v>15</x:v>
      </x:c>
      <x:c r="B15" s="39" t="s">
        <x:v>16</x:v>
      </x:c>
      <x:c r="C15" s="39" t="s">
        <x:v>48</x:v>
      </x:c>
      <x:c r="D15" s="39" t="s">
        <x:v>45</x:v>
      </x:c>
      <x:c r="E15" s="39" t="s">
        <x:v>19</x:v>
      </x:c>
      <x:c r="F15" s="39" t="s">
        <x:v>20</x:v>
      </x:c>
      <x:c r="G15" s="39" t="s">
        <x:v>33</x:v>
      </x:c>
      <x:c r="H15" s="39" t="s">
        <x:v>22</x:v>
      </x:c>
      <x:c r="I15" s="44">
        <x:v>18716</x:v>
      </x:c>
      <x:c r="J15" s="44">
        <x:v>3930</x:v>
      </x:c>
      <x:c r="K15" s="39" t="s">
        <x:v>23</x:v>
      </x:c>
      <x:c r="L15" s="44">
        <x:v>3537</x:v>
      </x:c>
      <x:c r="M15" s="44">
        <x:v>70.739999999999995</x:v>
      </x:c>
      <x:c r="N15" s="44">
        <x:v>3466.26</x:v>
      </x:c>
    </x:row>
    <x:row r="16">
      <x:c r="A16" s="39" t="s">
        <x:v>15</x:v>
      </x:c>
      <x:c r="B16" s="39" t="s">
        <x:v>16</x:v>
      </x:c>
      <x:c r="C16" s="39" t="s">
        <x:v>49</x:v>
      </x:c>
      <x:c r="D16" s="39" t="s">
        <x:v>45</x:v>
      </x:c>
      <x:c r="E16" s="39" t="s">
        <x:v>19</x:v>
      </x:c>
      <x:c r="F16" s="39" t="s">
        <x:v>32</x:v>
      </x:c>
      <x:c r="G16" s="39" t="s">
        <x:v>33</x:v>
      </x:c>
      <x:c r="H16" s="39" t="s">
        <x:v>22</x:v>
      </x:c>
      <x:c r="I16" s="44">
        <x:v>35863</x:v>
      </x:c>
      <x:c r="J16" s="44">
        <x:v>7531</x:v>
      </x:c>
      <x:c r="K16" s="39" t="s">
        <x:v>23</x:v>
      </x:c>
      <x:c r="L16" s="44">
        <x:v>6777.9000000000005</x:v>
      </x:c>
      <x:c r="M16" s="44">
        <x:v>135.55800000000002</x:v>
      </x:c>
      <x:c r="N16" s="44">
        <x:v>6642.3420000000006</x:v>
      </x:c>
    </x:row>
    <x:row r="17">
      <x:c r="A17" s="39" t="s">
        <x:v>15</x:v>
      </x:c>
      <x:c r="B17" s="39" t="s">
        <x:v>16</x:v>
      </x:c>
      <x:c r="C17" s="39" t="s">
        <x:v>50</x:v>
      </x:c>
      <x:c r="D17" s="39" t="s">
        <x:v>45</x:v>
      </x:c>
      <x:c r="E17" s="39" t="s">
        <x:v>19</x:v>
      </x:c>
      <x:c r="F17" s="39" t="s">
        <x:v>32</x:v>
      </x:c>
      <x:c r="G17" s="39" t="s">
        <x:v>33</x:v>
      </x:c>
      <x:c r="H17" s="39" t="s">
        <x:v>22</x:v>
      </x:c>
      <x:c r="I17" s="44">
        <x:v>17898</x:v>
      </x:c>
      <x:c r="J17" s="44">
        <x:v>3759</x:v>
      </x:c>
      <x:c r="K17" s="39" t="s">
        <x:v>23</x:v>
      </x:c>
      <x:c r="L17" s="44">
        <x:v>3383.1</x:v>
      </x:c>
      <x:c r="M17" s="44">
        <x:v>67.662000000000006</x:v>
      </x:c>
      <x:c r="N17" s="44">
        <x:v>3315.4380000000001</x:v>
      </x:c>
    </x:row>
    <x:row r="18">
      <x:c r="A18" s="39" t="s">
        <x:v>15</x:v>
      </x:c>
      <x:c r="B18" s="39" t="s">
        <x:v>16</x:v>
      </x:c>
      <x:c r="C18" s="39" t="s">
        <x:v>51</x:v>
      </x:c>
      <x:c r="D18" s="39" t="s">
        <x:v>52</x:v>
      </x:c>
      <x:c r="E18" s="39" t="s">
        <x:v>19</x:v>
      </x:c>
      <x:c r="F18" s="39" t="s">
        <x:v>20</x:v>
      </x:c>
      <x:c r="G18" s="39" t="s">
        <x:v>21</x:v>
      </x:c>
      <x:c r="H18" s="39" t="s">
        <x:v>22</x:v>
      </x:c>
      <x:c r="I18" s="44">
        <x:v>45360</x:v>
      </x:c>
      <x:c r="J18" s="44">
        <x:v>3629</x:v>
      </x:c>
      <x:c r="K18" s="39" t="s">
        <x:v>23</x:v>
      </x:c>
      <x:c r="L18" s="44">
        <x:v>3266.1</x:v>
      </x:c>
      <x:c r="M18" s="44">
        <x:v>65.322000000000003</x:v>
      </x:c>
      <x:c r="N18" s="44">
        <x:v>3200.7779999999998</x:v>
      </x:c>
    </x:row>
    <x:row r="19">
      <x:c r="A19" s="39" t="s">
        <x:v>15</x:v>
      </x:c>
      <x:c r="B19" s="39" t="s">
        <x:v>16</x:v>
      </x:c>
      <x:c r="C19" s="39" t="s">
        <x:v>53</x:v>
      </x:c>
      <x:c r="D19" s="39" t="s">
        <x:v>54</x:v>
      </x:c>
      <x:c r="E19" s="39" t="s">
        <x:v>19</x:v>
      </x:c>
      <x:c r="F19" s="39" t="s">
        <x:v>20</x:v>
      </x:c>
      <x:c r="G19" s="39" t="s">
        <x:v>33</x:v>
      </x:c>
      <x:c r="H19" s="39" t="s">
        <x:v>22</x:v>
      </x:c>
      <x:c r="I19" s="44">
        <x:v>-73866</x:v>
      </x:c>
      <x:c r="J19" s="44">
        <x:v>-11080</x:v>
      </x:c>
      <x:c r="K19" s="39" t="s">
        <x:v>23</x:v>
      </x:c>
      <x:c r="L19" s="44">
        <x:v>-9972</x:v>
      </x:c>
      <x:c r="M19" s="44">
        <x:v>-199.44</x:v>
      </x:c>
      <x:c r="N19" s="44">
        <x:v>-9772.56</x:v>
      </x:c>
    </x:row>
    <x:row r="20">
      <x:c r="A20" s="39" t="s">
        <x:v>55</x:v>
      </x:c>
      <x:c r="B20" s="39" t="s">
        <x:v>56</x:v>
      </x:c>
      <x:c r="C20" s="39" t="s">
        <x:v>57</x:v>
      </x:c>
      <x:c r="D20" s="39" t="s">
        <x:v>58</x:v>
      </x:c>
      <x:c r="E20" s="39" t="s">
        <x:v>19</x:v>
      </x:c>
      <x:c r="F20" s="39" t="s">
        <x:v>59</x:v>
      </x:c>
      <x:c r="G20" s="39" t="s">
        <x:v>21</x:v>
      </x:c>
      <x:c r="H20" s="39" t="s">
        <x:v>22</x:v>
      </x:c>
      <x:c r="I20" s="44">
        <x:v>23326</x:v>
      </x:c>
      <x:c r="J20" s="44">
        <x:v>4665</x:v>
      </x:c>
      <x:c r="K20" s="39" t="s">
        <x:v>23</x:v>
      </x:c>
      <x:c r="L20" s="44">
        <x:v>4198.5</x:v>
      </x:c>
      <x:c r="M20" s="44">
        <x:v>83.97</x:v>
      </x:c>
      <x:c r="N20" s="44">
        <x:v>4114.53</x:v>
      </x:c>
    </x:row>
    <x:row r="21">
      <x:c r="A21" s="39" t="s">
        <x:v>55</x:v>
      </x:c>
      <x:c r="B21" s="39" t="s">
        <x:v>56</x:v>
      </x:c>
      <x:c r="C21" s="39" t="s">
        <x:v>60</x:v>
      </x:c>
      <x:c r="D21" s="39" t="s">
        <x:v>61</x:v>
      </x:c>
      <x:c r="E21" s="39" t="s">
        <x:v>19</x:v>
      </x:c>
      <x:c r="F21" s="39" t="s">
        <x:v>32</x:v>
      </x:c>
      <x:c r="G21" s="39" t="s">
        <x:v>21</x:v>
      </x:c>
      <x:c r="H21" s="39" t="s">
        <x:v>22</x:v>
      </x:c>
      <x:c r="I21" s="44">
        <x:v>15634</x:v>
      </x:c>
      <x:c r="J21" s="44">
        <x:v>3127</x:v>
      </x:c>
      <x:c r="K21" s="39" t="s">
        <x:v>23</x:v>
      </x:c>
      <x:c r="L21" s="44">
        <x:v>2814.3</x:v>
      </x:c>
      <x:c r="M21" s="44">
        <x:v>56.286000000000001</x:v>
      </x:c>
      <x:c r="N21" s="44">
        <x:v>2758.0140000000001</x:v>
      </x:c>
    </x:row>
    <x:row r="22">
      <x:c r="A22" s="39" t="s">
        <x:v>55</x:v>
      </x:c>
      <x:c r="B22" s="39" t="s">
        <x:v>56</x:v>
      </x:c>
      <x:c r="C22" s="39" t="s">
        <x:v>62</x:v>
      </x:c>
      <x:c r="D22" s="39" t="s">
        <x:v>63</x:v>
      </x:c>
      <x:c r="E22" s="39" t="s">
        <x:v>19</x:v>
      </x:c>
      <x:c r="F22" s="39" t="s">
        <x:v>59</x:v>
      </x:c>
      <x:c r="G22" s="39" t="s">
        <x:v>21</x:v>
      </x:c>
      <x:c r="H22" s="39" t="s">
        <x:v>22</x:v>
      </x:c>
      <x:c r="I22" s="44">
        <x:v>39512</x:v>
      </x:c>
      <x:c r="J22" s="44">
        <x:v>7902</x:v>
      </x:c>
      <x:c r="K22" s="39" t="s">
        <x:v>23</x:v>
      </x:c>
      <x:c r="L22" s="44">
        <x:v>7111.8</x:v>
      </x:c>
      <x:c r="M22" s="44">
        <x:v>142.23600000000002</x:v>
      </x:c>
      <x:c r="N22" s="44">
        <x:v>6969.5640000000003</x:v>
      </x:c>
    </x:row>
    <x:row r="23">
      <x:c r="A23" s="39" t="s">
        <x:v>15</x:v>
      </x:c>
      <x:c r="B23" s="39" t="s">
        <x:v>16</x:v>
      </x:c>
      <x:c r="C23" s="39" t="s">
        <x:v>64</x:v>
      </x:c>
      <x:c r="D23" s="39" t="s">
        <x:v>65</x:v>
      </x:c>
      <x:c r="E23" s="39" t="s">
        <x:v>66</x:v>
      </x:c>
      <x:c r="F23" s="39" t="s">
        <x:v>32</x:v>
      </x:c>
      <x:c r="G23" s="39" t="s">
        <x:v>33</x:v>
      </x:c>
      <x:c r="H23" s="39" t="s">
        <x:v>22</x:v>
      </x:c>
      <x:c r="I23" s="44">
        <x:v>13795.19</x:v>
      </x:c>
      <x:c r="J23" s="44">
        <x:v>1931.33</x:v>
      </x:c>
      <x:c r="K23" s="39" t="s">
        <x:v>23</x:v>
      </x:c>
      <x:c r="L23" s="44">
        <x:v>1738.1969999999999</x:v>
      </x:c>
      <x:c r="M23" s="44">
        <x:v>34.763939999999998</x:v>
      </x:c>
      <x:c r="N23" s="44">
        <x:v>1703.4330599999998</x:v>
      </x:c>
    </x:row>
    <x:row r="24">
      <x:c r="A24" s="39" t="s">
        <x:v>15</x:v>
      </x:c>
      <x:c r="B24" s="39" t="s">
        <x:v>16</x:v>
      </x:c>
      <x:c r="C24" s="39" t="s">
        <x:v>67</x:v>
      </x:c>
      <x:c r="D24" s="39" t="s">
        <x:v>68</x:v>
      </x:c>
      <x:c r="E24" s="39" t="s">
        <x:v>66</x:v>
      </x:c>
      <x:c r="F24" s="39" t="s">
        <x:v>32</x:v>
      </x:c>
      <x:c r="G24" s="39" t="s">
        <x:v>33</x:v>
      </x:c>
      <x:c r="H24" s="39" t="s">
        <x:v>22</x:v>
      </x:c>
      <x:c r="I24" s="44">
        <x:v>38342.58</x:v>
      </x:c>
      <x:c r="J24" s="44">
        <x:v>5367.96</x:v>
      </x:c>
      <x:c r="K24" s="39" t="s">
        <x:v>23</x:v>
      </x:c>
      <x:c r="L24" s="44">
        <x:v>4831.1639999999998</x:v>
      </x:c>
      <x:c r="M24" s="44">
        <x:v>96.623279999999994</x:v>
      </x:c>
      <x:c r="N24" s="44">
        <x:v>4734.54072</x:v>
      </x:c>
    </x:row>
    <x:row r="25">
      <x:c r="A25" s="39" t="s">
        <x:v>15</x:v>
      </x:c>
      <x:c r="B25" s="39" t="s">
        <x:v>16</x:v>
      </x:c>
      <x:c r="C25" s="39" t="s">
        <x:v>69</x:v>
      </x:c>
      <x:c r="D25" s="39" t="s">
        <x:v>70</x:v>
      </x:c>
      <x:c r="E25" s="39" t="s">
        <x:v>66</x:v>
      </x:c>
      <x:c r="F25" s="39" t="s">
        <x:v>32</x:v>
      </x:c>
      <x:c r="G25" s="39" t="s">
        <x:v>33</x:v>
      </x:c>
      <x:c r="H25" s="39" t="s">
        <x:v>22</x:v>
      </x:c>
      <x:c r="I25" s="44">
        <x:v>31240.17</x:v>
      </x:c>
      <x:c r="J25" s="44">
        <x:v>4373.62</x:v>
      </x:c>
      <x:c r="K25" s="39" t="s">
        <x:v>23</x:v>
      </x:c>
      <x:c r="L25" s="44">
        <x:v>3936.2579999999998</x:v>
      </x:c>
      <x:c r="M25" s="44">
        <x:v>78.725160000000002</x:v>
      </x:c>
      <x:c r="N25" s="44">
        <x:v>3857.5328399999999</x:v>
      </x:c>
    </x:row>
    <x:row r="26">
      <x:c r="A26" s="39" t="s">
        <x:v>15</x:v>
      </x:c>
      <x:c r="B26" s="39" t="s">
        <x:v>16</x:v>
      </x:c>
      <x:c r="C26" s="39" t="s">
        <x:v>69</x:v>
      </x:c>
      <x:c r="D26" s="39" t="s">
        <x:v>70</x:v>
      </x:c>
      <x:c r="E26" s="39" t="s">
        <x:v>66</x:v>
      </x:c>
      <x:c r="F26" s="39" t="s">
        <x:v>32</x:v>
      </x:c>
      <x:c r="G26" s="39" t="s">
        <x:v>33</x:v>
      </x:c>
      <x:c r="H26" s="39" t="s">
        <x:v>22</x:v>
      </x:c>
      <x:c r="I26" s="44">
        <x:v>1.1599999999999999</x:v>
      </x:c>
      <x:c r="J26" s="44">
        <x:v>0.16</x:v>
      </x:c>
      <x:c r="K26" s="39" t="s">
        <x:v>23</x:v>
      </x:c>
      <x:c r="L26" s="44">
        <x:v>0.14400000000000002</x:v>
      </x:c>
      <x:c r="M26" s="44">
        <x:v>2.8800000000000002E-3</x:v>
      </x:c>
      <x:c r="N26" s="44">
        <x:v>0.14112000000000002</x:v>
      </x:c>
    </x:row>
    <x:row r="27">
      <x:c r="A27" s="39" t="s">
        <x:v>15</x:v>
      </x:c>
      <x:c r="B27" s="39" t="s">
        <x:v>16</x:v>
      </x:c>
      <x:c r="C27" s="39" t="s">
        <x:v>71</x:v>
      </x:c>
      <x:c r="D27" s="39" t="s">
        <x:v>72</x:v>
      </x:c>
      <x:c r="E27" s="39" t="s">
        <x:v>66</x:v>
      </x:c>
      <x:c r="F27" s="39" t="s">
        <x:v>32</x:v>
      </x:c>
      <x:c r="G27" s="39" t="s">
        <x:v>33</x:v>
      </x:c>
      <x:c r="H27" s="39" t="s">
        <x:v>22</x:v>
      </x:c>
      <x:c r="I27" s="44">
        <x:v>22851.43</x:v>
      </x:c>
      <x:c r="J27" s="44">
        <x:v>3199.2</x:v>
      </x:c>
      <x:c r="K27" s="39" t="s">
        <x:v>23</x:v>
      </x:c>
      <x:c r="L27" s="44">
        <x:v>2879.2799999999997</x:v>
      </x:c>
      <x:c r="M27" s="44">
        <x:v>57.585599999999999</x:v>
      </x:c>
      <x:c r="N27" s="44">
        <x:v>2821.6943999999999</x:v>
      </x:c>
    </x:row>
    <x:row r="28">
      <x:c r="A28" s="39" t="s">
        <x:v>15</x:v>
      </x:c>
      <x:c r="B28" s="39" t="s">
        <x:v>16</x:v>
      </x:c>
      <x:c r="C28" s="39" t="s">
        <x:v>73</x:v>
      </x:c>
      <x:c r="D28" s="39" t="s">
        <x:v>74</x:v>
      </x:c>
      <x:c r="E28" s="39" t="s">
        <x:v>66</x:v>
      </x:c>
      <x:c r="F28" s="39" t="s">
        <x:v>32</x:v>
      </x:c>
      <x:c r="G28" s="39" t="s">
        <x:v>33</x:v>
      </x:c>
      <x:c r="H28" s="39" t="s">
        <x:v>22</x:v>
      </x:c>
      <x:c r="I28" s="44">
        <x:v>30419.93</x:v>
      </x:c>
      <x:c r="J28" s="44">
        <x:v>4258.79</x:v>
      </x:c>
      <x:c r="K28" s="39" t="s">
        <x:v>23</x:v>
      </x:c>
      <x:c r="L28" s="44">
        <x:v>3832.9110000000001</x:v>
      </x:c>
      <x:c r="M28" s="44">
        <x:v>76.65822</x:v>
      </x:c>
      <x:c r="N28" s="44">
        <x:v>3756.2527800000003</x:v>
      </x:c>
    </x:row>
    <x:row r="29">
      <x:c r="A29" s="39" t="s">
        <x:v>15</x:v>
      </x:c>
      <x:c r="B29" s="39" t="s">
        <x:v>16</x:v>
      </x:c>
      <x:c r="C29" s="39" t="s">
        <x:v>73</x:v>
      </x:c>
      <x:c r="D29" s="39" t="s">
        <x:v>74</x:v>
      </x:c>
      <x:c r="E29" s="39" t="s">
        <x:v>66</x:v>
      </x:c>
      <x:c r="F29" s="39" t="s">
        <x:v>32</x:v>
      </x:c>
      <x:c r="G29" s="39" t="s">
        <x:v>33</x:v>
      </x:c>
      <x:c r="H29" s="39" t="s">
        <x:v>22</x:v>
      </x:c>
      <x:c r="I29" s="44">
        <x:v>30419.93</x:v>
      </x:c>
      <x:c r="J29" s="44">
        <x:v>4258.79</x:v>
      </x:c>
      <x:c r="K29" s="39" t="s">
        <x:v>23</x:v>
      </x:c>
      <x:c r="L29" s="44">
        <x:v>3832.9110000000001</x:v>
      </x:c>
      <x:c r="M29" s="44">
        <x:v>76.65822</x:v>
      </x:c>
      <x:c r="N29" s="44">
        <x:v>3756.2527800000003</x:v>
      </x:c>
    </x:row>
    <x:row r="30">
      <x:c r="A30" s="39" t="s">
        <x:v>15</x:v>
      </x:c>
      <x:c r="B30" s="39" t="s">
        <x:v>16</x:v>
      </x:c>
      <x:c r="C30" s="39" t="s">
        <x:v>73</x:v>
      </x:c>
      <x:c r="D30" s="39" t="s">
        <x:v>74</x:v>
      </x:c>
      <x:c r="E30" s="39" t="s">
        <x:v>66</x:v>
      </x:c>
      <x:c r="F30" s="39" t="s">
        <x:v>32</x:v>
      </x:c>
      <x:c r="G30" s="39" t="s">
        <x:v>33</x:v>
      </x:c>
      <x:c r="H30" s="39" t="s">
        <x:v>22</x:v>
      </x:c>
      <x:c r="I30" s="44">
        <x:v>30419.93</x:v>
      </x:c>
      <x:c r="J30" s="44">
        <x:v>4258.79</x:v>
      </x:c>
      <x:c r="K30" s="39" t="s">
        <x:v>23</x:v>
      </x:c>
      <x:c r="L30" s="44">
        <x:v>3832.9110000000001</x:v>
      </x:c>
      <x:c r="M30" s="44">
        <x:v>76.65822</x:v>
      </x:c>
      <x:c r="N30" s="44">
        <x:v>3756.2527800000003</x:v>
      </x:c>
    </x:row>
    <x:row r="31">
      <x:c r="A31" s="39" t="s">
        <x:v>15</x:v>
      </x:c>
      <x:c r="B31" s="39" t="s">
        <x:v>16</x:v>
      </x:c>
      <x:c r="C31" s="39" t="s">
        <x:v>73</x:v>
      </x:c>
      <x:c r="D31" s="39" t="s">
        <x:v>74</x:v>
      </x:c>
      <x:c r="E31" s="39" t="s">
        <x:v>66</x:v>
      </x:c>
      <x:c r="F31" s="39" t="s">
        <x:v>32</x:v>
      </x:c>
      <x:c r="G31" s="39" t="s">
        <x:v>33</x:v>
      </x:c>
      <x:c r="H31" s="39" t="s">
        <x:v>22</x:v>
      </x:c>
      <x:c r="I31" s="44">
        <x:v>30419.93</x:v>
      </x:c>
      <x:c r="J31" s="44">
        <x:v>4258.79</x:v>
      </x:c>
      <x:c r="K31" s="39" t="s">
        <x:v>23</x:v>
      </x:c>
      <x:c r="L31" s="44">
        <x:v>3832.9110000000001</x:v>
      </x:c>
      <x:c r="M31" s="44">
        <x:v>76.65822</x:v>
      </x:c>
      <x:c r="N31" s="44">
        <x:v>3756.2527800000003</x:v>
      </x:c>
    </x:row>
    <x:row r="32">
      <x:c r="A32" s="39" t="s">
        <x:v>15</x:v>
      </x:c>
      <x:c r="B32" s="39" t="s">
        <x:v>16</x:v>
      </x:c>
      <x:c r="C32" s="39" t="s">
        <x:v>73</x:v>
      </x:c>
      <x:c r="D32" s="39" t="s">
        <x:v>74</x:v>
      </x:c>
      <x:c r="E32" s="39" t="s">
        <x:v>66</x:v>
      </x:c>
      <x:c r="F32" s="39" t="s">
        <x:v>32</x:v>
      </x:c>
      <x:c r="G32" s="39" t="s">
        <x:v>33</x:v>
      </x:c>
      <x:c r="H32" s="39" t="s">
        <x:v>22</x:v>
      </x:c>
      <x:c r="I32" s="44">
        <x:v>30419.93</x:v>
      </x:c>
      <x:c r="J32" s="44">
        <x:v>4258.79</x:v>
      </x:c>
      <x:c r="K32" s="39" t="s">
        <x:v>23</x:v>
      </x:c>
      <x:c r="L32" s="44">
        <x:v>3832.9110000000001</x:v>
      </x:c>
      <x:c r="M32" s="44">
        <x:v>76.65822</x:v>
      </x:c>
      <x:c r="N32" s="44">
        <x:v>3756.2527800000003</x:v>
      </x:c>
    </x:row>
    <x:row r="33">
      <x:c r="A33" s="39" t="s">
        <x:v>15</x:v>
      </x:c>
      <x:c r="B33" s="39" t="s">
        <x:v>16</x:v>
      </x:c>
      <x:c r="C33" s="39" t="s">
        <x:v>73</x:v>
      </x:c>
      <x:c r="D33" s="39" t="s">
        <x:v>74</x:v>
      </x:c>
      <x:c r="E33" s="39" t="s">
        <x:v>66</x:v>
      </x:c>
      <x:c r="F33" s="39" t="s">
        <x:v>32</x:v>
      </x:c>
      <x:c r="G33" s="39" t="s">
        <x:v>33</x:v>
      </x:c>
      <x:c r="H33" s="39" t="s">
        <x:v>22</x:v>
      </x:c>
      <x:c r="I33" s="44">
        <x:v>30419.93</x:v>
      </x:c>
      <x:c r="J33" s="44">
        <x:v>4258.79</x:v>
      </x:c>
      <x:c r="K33" s="39" t="s">
        <x:v>23</x:v>
      </x:c>
      <x:c r="L33" s="44">
        <x:v>3832.9110000000001</x:v>
      </x:c>
      <x:c r="M33" s="44">
        <x:v>76.65822</x:v>
      </x:c>
      <x:c r="N33" s="44">
        <x:v>3756.2527800000003</x:v>
      </x:c>
    </x:row>
    <x:row r="34">
      <x:c r="A34" s="39" t="s">
        <x:v>15</x:v>
      </x:c>
      <x:c r="B34" s="39" t="s">
        <x:v>16</x:v>
      </x:c>
      <x:c r="C34" s="39" t="s">
        <x:v>73</x:v>
      </x:c>
      <x:c r="D34" s="39" t="s">
        <x:v>74</x:v>
      </x:c>
      <x:c r="E34" s="39" t="s">
        <x:v>66</x:v>
      </x:c>
      <x:c r="F34" s="39" t="s">
        <x:v>32</x:v>
      </x:c>
      <x:c r="G34" s="39" t="s">
        <x:v>33</x:v>
      </x:c>
      <x:c r="H34" s="39" t="s">
        <x:v>22</x:v>
      </x:c>
      <x:c r="I34" s="44">
        <x:v>30419.93</x:v>
      </x:c>
      <x:c r="J34" s="44">
        <x:v>4258.79</x:v>
      </x:c>
      <x:c r="K34" s="39" t="s">
        <x:v>23</x:v>
      </x:c>
      <x:c r="L34" s="44">
        <x:v>3832.9110000000001</x:v>
      </x:c>
      <x:c r="M34" s="44">
        <x:v>76.65822</x:v>
      </x:c>
      <x:c r="N34" s="44">
        <x:v>3756.2527800000003</x:v>
      </x:c>
    </x:row>
    <x:row r="35">
      <x:c r="A35" s="39" t="s">
        <x:v>15</x:v>
      </x:c>
      <x:c r="B35" s="39" t="s">
        <x:v>16</x:v>
      </x:c>
      <x:c r="C35" s="39" t="s">
        <x:v>73</x:v>
      </x:c>
      <x:c r="D35" s="39" t="s">
        <x:v>74</x:v>
      </x:c>
      <x:c r="E35" s="39" t="s">
        <x:v>66</x:v>
      </x:c>
      <x:c r="F35" s="39" t="s">
        <x:v>32</x:v>
      </x:c>
      <x:c r="G35" s="39" t="s">
        <x:v>33</x:v>
      </x:c>
      <x:c r="H35" s="39" t="s">
        <x:v>22</x:v>
      </x:c>
      <x:c r="I35" s="44">
        <x:v>30419.93</x:v>
      </x:c>
      <x:c r="J35" s="44">
        <x:v>4258.79</x:v>
      </x:c>
      <x:c r="K35" s="39" t="s">
        <x:v>23</x:v>
      </x:c>
      <x:c r="L35" s="44">
        <x:v>3832.9110000000001</x:v>
      </x:c>
      <x:c r="M35" s="44">
        <x:v>76.65822</x:v>
      </x:c>
      <x:c r="N35" s="44">
        <x:v>3756.2527800000003</x:v>
      </x:c>
    </x:row>
    <x:row r="36">
      <x:c r="A36" s="39" t="s">
        <x:v>15</x:v>
      </x:c>
      <x:c r="B36" s="39" t="s">
        <x:v>16</x:v>
      </x:c>
      <x:c r="C36" s="39" t="s">
        <x:v>73</x:v>
      </x:c>
      <x:c r="D36" s="39" t="s">
        <x:v>74</x:v>
      </x:c>
      <x:c r="E36" s="39" t="s">
        <x:v>66</x:v>
      </x:c>
      <x:c r="F36" s="39" t="s">
        <x:v>32</x:v>
      </x:c>
      <x:c r="G36" s="39" t="s">
        <x:v>33</x:v>
      </x:c>
      <x:c r="H36" s="39" t="s">
        <x:v>22</x:v>
      </x:c>
      <x:c r="I36" s="44">
        <x:v>30419.93</x:v>
      </x:c>
      <x:c r="J36" s="44">
        <x:v>4258.79</x:v>
      </x:c>
      <x:c r="K36" s="39" t="s">
        <x:v>23</x:v>
      </x:c>
      <x:c r="L36" s="44">
        <x:v>3832.9110000000001</x:v>
      </x:c>
      <x:c r="M36" s="44">
        <x:v>76.65822</x:v>
      </x:c>
      <x:c r="N36" s="44">
        <x:v>3756.2527800000003</x:v>
      </x:c>
    </x:row>
    <x:row r="37">
      <x:c r="A37" s="39" t="s">
        <x:v>15</x:v>
      </x:c>
      <x:c r="B37" s="39" t="s">
        <x:v>16</x:v>
      </x:c>
      <x:c r="C37" s="39" t="s">
        <x:v>73</x:v>
      </x:c>
      <x:c r="D37" s="39" t="s">
        <x:v>74</x:v>
      </x:c>
      <x:c r="E37" s="39" t="s">
        <x:v>66</x:v>
      </x:c>
      <x:c r="F37" s="39" t="s">
        <x:v>32</x:v>
      </x:c>
      <x:c r="G37" s="39" t="s">
        <x:v>33</x:v>
      </x:c>
      <x:c r="H37" s="39" t="s">
        <x:v>22</x:v>
      </x:c>
      <x:c r="I37" s="44">
        <x:v>30419.84</x:v>
      </x:c>
      <x:c r="J37" s="44">
        <x:v>4258.78</x:v>
      </x:c>
      <x:c r="K37" s="39" t="s">
        <x:v>23</x:v>
      </x:c>
      <x:c r="L37" s="44">
        <x:v>3832.902</x:v>
      </x:c>
      <x:c r="M37" s="44">
        <x:v>76.65804</x:v>
      </x:c>
      <x:c r="N37" s="44">
        <x:v>3756.2439600000002</x:v>
      </x:c>
    </x:row>
    <x:row r="38">
      <x:c r="A38" s="39" t="s">
        <x:v>15</x:v>
      </x:c>
      <x:c r="B38" s="39" t="s">
        <x:v>16</x:v>
      </x:c>
      <x:c r="C38" s="39" t="s">
        <x:v>73</x:v>
      </x:c>
      <x:c r="D38" s="39" t="s">
        <x:v>74</x:v>
      </x:c>
      <x:c r="E38" s="39" t="s">
        <x:v>66</x:v>
      </x:c>
      <x:c r="F38" s="39" t="s">
        <x:v>32</x:v>
      </x:c>
      <x:c r="G38" s="39" t="s">
        <x:v>33</x:v>
      </x:c>
      <x:c r="H38" s="39" t="s">
        <x:v>22</x:v>
      </x:c>
      <x:c r="I38" s="44">
        <x:v>-304199.21000000002</x:v>
      </x:c>
      <x:c r="J38" s="44">
        <x:v>-42587.88</x:v>
      </x:c>
      <x:c r="K38" s="39" t="s">
        <x:v>23</x:v>
      </x:c>
      <x:c r="L38" s="44">
        <x:v>-38329.091999999997</x:v>
      </x:c>
      <x:c r="M38" s="44">
        <x:v>-766.58183999999994</x:v>
      </x:c>
      <x:c r="N38" s="44">
        <x:v>-37562.510159999998</x:v>
      </x:c>
    </x:row>
    <x:row r="39">
      <x:c r="A39" s="39" t="s">
        <x:v>15</x:v>
      </x:c>
      <x:c r="B39" s="39" t="s">
        <x:v>16</x:v>
      </x:c>
      <x:c r="C39" s="39" t="s">
        <x:v>75</x:v>
      </x:c>
      <x:c r="D39" s="39" t="s">
        <x:v>76</x:v>
      </x:c>
      <x:c r="E39" s="39" t="s">
        <x:v>66</x:v>
      </x:c>
      <x:c r="F39" s="39" t="s">
        <x:v>20</x:v>
      </x:c>
      <x:c r="G39" s="39" t="s">
        <x:v>33</x:v>
      </x:c>
      <x:c r="H39" s="39" t="s">
        <x:v>22</x:v>
      </x:c>
      <x:c r="I39" s="44">
        <x:v>31960.34</x:v>
      </x:c>
      <x:c r="J39" s="44">
        <x:v>4474.45</x:v>
      </x:c>
      <x:c r="K39" s="39" t="s">
        <x:v>23</x:v>
      </x:c>
      <x:c r="L39" s="44">
        <x:v>4027.0050000000001</x:v>
      </x:c>
      <x:c r="M39" s="44">
        <x:v>80.54010000000001</x:v>
      </x:c>
      <x:c r="N39" s="44">
        <x:v>3946.4648999999999</x:v>
      </x:c>
    </x:row>
    <x:row r="40">
      <x:c r="A40" s="39" t="s">
        <x:v>15</x:v>
      </x:c>
      <x:c r="B40" s="39" t="s">
        <x:v>16</x:v>
      </x:c>
      <x:c r="C40" s="39" t="s">
        <x:v>77</x:v>
      </x:c>
      <x:c r="D40" s="39" t="s">
        <x:v>78</x:v>
      </x:c>
      <x:c r="E40" s="39" t="s">
        <x:v>66</x:v>
      </x:c>
      <x:c r="F40" s="39" t="s">
        <x:v>32</x:v>
      </x:c>
      <x:c r="G40" s="39" t="s">
        <x:v>33</x:v>
      </x:c>
      <x:c r="H40" s="39" t="s">
        <x:v>22</x:v>
      </x:c>
      <x:c r="I40" s="44">
        <x:v>126581.48</x:v>
      </x:c>
      <x:c r="J40" s="44">
        <x:v>17721.400000000001</x:v>
      </x:c>
      <x:c r="K40" s="39" t="s">
        <x:v>23</x:v>
      </x:c>
      <x:c r="L40" s="44">
        <x:v>15949.260000000002</x:v>
      </x:c>
      <x:c r="M40" s="44">
        <x:v>318.98520000000002</x:v>
      </x:c>
      <x:c r="N40" s="44">
        <x:v>15630.274800000003</x:v>
      </x:c>
    </x:row>
    <x:row r="41">
      <x:c r="A41" s="39" t="s">
        <x:v>15</x:v>
      </x:c>
      <x:c r="B41" s="39" t="s">
        <x:v>16</x:v>
      </x:c>
      <x:c r="C41" s="39" t="s">
        <x:v>64</x:v>
      </x:c>
      <x:c r="D41" s="39" t="s">
        <x:v>65</x:v>
      </x:c>
      <x:c r="E41" s="39" t="s">
        <x:v>66</x:v>
      </x:c>
      <x:c r="F41" s="39" t="s">
        <x:v>32</x:v>
      </x:c>
      <x:c r="G41" s="39" t="s">
        <x:v>33</x:v>
      </x:c>
      <x:c r="H41" s="39" t="s">
        <x:v>22</x:v>
      </x:c>
      <x:c r="I41" s="44">
        <x:v>5553.31</x:v>
      </x:c>
      <x:c r="J41" s="44">
        <x:v>777.46</x:v>
      </x:c>
      <x:c r="K41" s="39" t="s">
        <x:v>23</x:v>
      </x:c>
      <x:c r="L41" s="44">
        <x:v>699.71400000000006</x:v>
      </x:c>
      <x:c r="M41" s="44">
        <x:v>13.994280000000002</x:v>
      </x:c>
      <x:c r="N41" s="44">
        <x:v>685.71972000000005</x:v>
      </x:c>
    </x:row>
    <x:row r="42">
      <x:c r="A42" s="39" t="s">
        <x:v>15</x:v>
      </x:c>
      <x:c r="B42" s="39" t="s">
        <x:v>16</x:v>
      </x:c>
      <x:c r="C42" s="39" t="s">
        <x:v>79</x:v>
      </x:c>
      <x:c r="D42" s="39" t="s">
        <x:v>80</x:v>
      </x:c>
      <x:c r="E42" s="39" t="s">
        <x:v>81</x:v>
      </x:c>
      <x:c r="F42" s="39" t="s">
        <x:v>20</x:v>
      </x:c>
      <x:c r="G42" s="39" t="s">
        <x:v>33</x:v>
      </x:c>
      <x:c r="H42" s="39" t="s">
        <x:v>22</x:v>
      </x:c>
      <x:c r="I42" s="44">
        <x:v>143719.85999999999</x:v>
      </x:c>
      <x:c r="J42" s="44">
        <x:v>25869.57</x:v>
      </x:c>
      <x:c r="K42" s="39" t="s">
        <x:v>23</x:v>
      </x:c>
      <x:c r="L42" s="44">
        <x:v>23282.613000000001</x:v>
      </x:c>
      <x:c r="M42" s="44">
        <x:v>465.65226000000001</x:v>
      </x:c>
      <x:c r="N42" s="44">
        <x:v>22816.960740000002</x:v>
      </x:c>
    </x:row>
    <x:row r="43">
      <x:c r="A43" s="39" t="s">
        <x:v>15</x:v>
      </x:c>
      <x:c r="B43" s="39" t="s">
        <x:v>16</x:v>
      </x:c>
      <x:c r="C43" s="39" t="s">
        <x:v>82</x:v>
      </x:c>
      <x:c r="D43" s="39" t="s">
        <x:v>83</x:v>
      </x:c>
      <x:c r="E43" s="39" t="s">
        <x:v>84</x:v>
      </x:c>
      <x:c r="F43" s="39" t="s">
        <x:v>20</x:v>
      </x:c>
      <x:c r="G43" s="39" t="s">
        <x:v>33</x:v>
      </x:c>
      <x:c r="H43" s="39" t="s">
        <x:v>22</x:v>
      </x:c>
      <x:c r="I43" s="44">
        <x:v>132594.46</x:v>
      </x:c>
      <x:c r="J43" s="44">
        <x:v>19889.169999999998</x:v>
      </x:c>
      <x:c r="K43" s="39" t="s">
        <x:v>23</x:v>
      </x:c>
      <x:c r="L43" s="44">
        <x:v>17900.253000000001</x:v>
      </x:c>
      <x:c r="M43" s="44">
        <x:v>358.00506000000001</x:v>
      </x:c>
      <x:c r="N43" s="44">
        <x:v>17542.247940000001</x:v>
      </x:c>
    </x:row>
    <x:row r="44">
      <x:c r="A44" s="39" t="s">
        <x:v>15</x:v>
      </x:c>
      <x:c r="B44" s="39" t="s">
        <x:v>16</x:v>
      </x:c>
      <x:c r="C44" s="39" t="s">
        <x:v>85</x:v>
      </x:c>
      <x:c r="D44" s="39" t="s">
        <x:v>86</x:v>
      </x:c>
      <x:c r="E44" s="39" t="s">
        <x:v>84</x:v>
      </x:c>
      <x:c r="F44" s="39" t="s">
        <x:v>32</x:v>
      </x:c>
      <x:c r="G44" s="39" t="s">
        <x:v>33</x:v>
      </x:c>
      <x:c r="H44" s="39" t="s">
        <x:v>22</x:v>
      </x:c>
      <x:c r="I44" s="44">
        <x:v>31971.93</x:v>
      </x:c>
      <x:c r="J44" s="44">
        <x:v>4476.07</x:v>
      </x:c>
      <x:c r="K44" s="39" t="s">
        <x:v>23</x:v>
      </x:c>
      <x:c r="L44" s="44">
        <x:v>4028.4629999999997</x:v>
      </x:c>
      <x:c r="M44" s="44">
        <x:v>80.56926</x:v>
      </x:c>
      <x:c r="N44" s="44">
        <x:v>3947.8937399999995</x:v>
      </x:c>
    </x:row>
    <x:row r="45">
      <x:c r="A45" s="39" t="s">
        <x:v>15</x:v>
      </x:c>
      <x:c r="B45" s="39" t="s">
        <x:v>16</x:v>
      </x:c>
      <x:c r="C45" s="39" t="s">
        <x:v>87</x:v>
      </x:c>
      <x:c r="D45" s="39" t="s">
        <x:v>88</x:v>
      </x:c>
      <x:c r="E45" s="39" t="s">
        <x:v>84</x:v>
      </x:c>
      <x:c r="F45" s="39" t="s">
        <x:v>20</x:v>
      </x:c>
      <x:c r="G45" s="39" t="s">
        <x:v>33</x:v>
      </x:c>
      <x:c r="H45" s="39" t="s">
        <x:v>22</x:v>
      </x:c>
      <x:c r="I45" s="44">
        <x:v>22425.29</x:v>
      </x:c>
      <x:c r="J45" s="44">
        <x:v>3139.55</x:v>
      </x:c>
      <x:c r="K45" s="39" t="s">
        <x:v>23</x:v>
      </x:c>
      <x:c r="L45" s="44">
        <x:v>2825.5950000000003</x:v>
      </x:c>
      <x:c r="M45" s="44">
        <x:v>56.511900000000004</x:v>
      </x:c>
      <x:c r="N45" s="44">
        <x:v>2769.0831000000003</x:v>
      </x:c>
    </x:row>
    <x:row r="46">
      <x:c r="A46" s="39" t="s">
        <x:v>15</x:v>
      </x:c>
      <x:c r="B46" s="39" t="s">
        <x:v>16</x:v>
      </x:c>
      <x:c r="C46" s="39" t="s">
        <x:v>89</x:v>
      </x:c>
      <x:c r="D46" s="39" t="s">
        <x:v>90</x:v>
      </x:c>
      <x:c r="E46" s="39" t="s">
        <x:v>84</x:v>
      </x:c>
      <x:c r="F46" s="39" t="s">
        <x:v>32</x:v>
      </x:c>
      <x:c r="G46" s="39" t="s">
        <x:v>33</x:v>
      </x:c>
      <x:c r="H46" s="39" t="s">
        <x:v>22</x:v>
      </x:c>
      <x:c r="I46" s="44">
        <x:v>116475.06</x:v>
      </x:c>
      <x:c r="J46" s="44">
        <x:v>16306.5</x:v>
      </x:c>
      <x:c r="K46" s="39" t="s">
        <x:v>23</x:v>
      </x:c>
      <x:c r="L46" s="44">
        <x:v>14675.85</x:v>
      </x:c>
      <x:c r="M46" s="44">
        <x:v>293.517</x:v>
      </x:c>
      <x:c r="N46" s="44">
        <x:v>14382.333000000001</x:v>
      </x:c>
    </x:row>
    <x:row r="47">
      <x:c r="A47" s="39" t="s">
        <x:v>15</x:v>
      </x:c>
      <x:c r="B47" s="39" t="s">
        <x:v>16</x:v>
      </x:c>
      <x:c r="C47" s="39" t="s">
        <x:v>91</x:v>
      </x:c>
      <x:c r="D47" s="39" t="s">
        <x:v>74</x:v>
      </x:c>
      <x:c r="E47" s="39" t="s">
        <x:v>84</x:v>
      </x:c>
      <x:c r="F47" s="39" t="s">
        <x:v>32</x:v>
      </x:c>
      <x:c r="G47" s="39" t="s">
        <x:v>33</x:v>
      </x:c>
      <x:c r="H47" s="39" t="s">
        <x:v>22</x:v>
      </x:c>
      <x:c r="I47" s="44">
        <x:v>25759.02</x:v>
      </x:c>
      <x:c r="J47" s="44">
        <x:v>3606.26</x:v>
      </x:c>
      <x:c r="K47" s="39" t="s">
        <x:v>23</x:v>
      </x:c>
      <x:c r="L47" s="44">
        <x:v>3245.6340000000005</x:v>
      </x:c>
      <x:c r="M47" s="44">
        <x:v>64.912680000000009</x:v>
      </x:c>
      <x:c r="N47" s="44">
        <x:v>3180.7213200000006</x:v>
      </x:c>
    </x:row>
    <x:row r="48">
      <x:c r="A48" s="39" t="s">
        <x:v>15</x:v>
      </x:c>
      <x:c r="B48" s="39" t="s">
        <x:v>16</x:v>
      </x:c>
      <x:c r="C48" s="39" t="s">
        <x:v>92</x:v>
      </x:c>
      <x:c r="D48" s="39" t="s">
        <x:v>93</x:v>
      </x:c>
      <x:c r="E48" s="39" t="s">
        <x:v>84</x:v>
      </x:c>
      <x:c r="F48" s="39" t="s">
        <x:v>32</x:v>
      </x:c>
      <x:c r="G48" s="39" t="s">
        <x:v>33</x:v>
      </x:c>
      <x:c r="H48" s="39" t="s">
        <x:v>22</x:v>
      </x:c>
      <x:c r="I48" s="44">
        <x:v>25417.48</x:v>
      </x:c>
      <x:c r="J48" s="44">
        <x:v>3558.45</x:v>
      </x:c>
      <x:c r="K48" s="39" t="s">
        <x:v>23</x:v>
      </x:c>
      <x:c r="L48" s="44">
        <x:v>3202.605</x:v>
      </x:c>
      <x:c r="M48" s="44">
        <x:v>64.052099999999996</x:v>
      </x:c>
      <x:c r="N48" s="44">
        <x:v>3138.5529000000001</x:v>
      </x:c>
    </x:row>
    <x:row r="49">
      <x:c r="A49" s="39" t="s">
        <x:v>15</x:v>
      </x:c>
      <x:c r="B49" s="39" t="s">
        <x:v>16</x:v>
      </x:c>
      <x:c r="C49" s="39" t="s">
        <x:v>94</x:v>
      </x:c>
      <x:c r="D49" s="39" t="s">
        <x:v>95</x:v>
      </x:c>
      <x:c r="E49" s="39" t="s">
        <x:v>96</x:v>
      </x:c>
      <x:c r="F49" s="39" t="s">
        <x:v>20</x:v>
      </x:c>
      <x:c r="G49" s="39" t="s">
        <x:v>33</x:v>
      </x:c>
      <x:c r="H49" s="39" t="s">
        <x:v>22</x:v>
      </x:c>
      <x:c r="I49" s="44">
        <x:v>153637.13</x:v>
      </x:c>
      <x:c r="J49" s="44">
        <x:v>19972.830000000002</x:v>
      </x:c>
      <x:c r="K49" s="39" t="s">
        <x:v>23</x:v>
      </x:c>
      <x:c r="L49" s="44">
        <x:v>17975.547000000002</x:v>
      </x:c>
      <x:c r="M49" s="44">
        <x:v>359.51094000000006</x:v>
      </x:c>
      <x:c r="N49" s="44">
        <x:v>17616.036060000002</x:v>
      </x:c>
    </x:row>
    <x:row r="50">
      <x:c r="A50" s="39" t="s">
        <x:v>15</x:v>
      </x:c>
      <x:c r="B50" s="39" t="s">
        <x:v>16</x:v>
      </x:c>
      <x:c r="C50" s="39" t="s">
        <x:v>94</x:v>
      </x:c>
      <x:c r="D50" s="39" t="s">
        <x:v>97</x:v>
      </x:c>
      <x:c r="E50" s="39" t="s">
        <x:v>96</x:v>
      </x:c>
      <x:c r="F50" s="39" t="s">
        <x:v>20</x:v>
      </x:c>
      <x:c r="G50" s="39" t="s">
        <x:v>33</x:v>
      </x:c>
      <x:c r="H50" s="39" t="s">
        <x:v>22</x:v>
      </x:c>
      <x:c r="I50" s="44">
        <x:v>8142.77</x:v>
      </x:c>
      <x:c r="J50" s="44">
        <x:v>1058.56</x:v>
      </x:c>
      <x:c r="K50" s="39" t="s">
        <x:v>23</x:v>
      </x:c>
      <x:c r="L50" s="44">
        <x:v>952.70399999999995</x:v>
      </x:c>
      <x:c r="M50" s="44">
        <x:v>19.054079999999999</x:v>
      </x:c>
      <x:c r="N50" s="44">
        <x:v>933.64991999999995</x:v>
      </x:c>
    </x:row>
    <x:row r="51">
      <x:c r="A51" s="39" t="s">
        <x:v>15</x:v>
      </x:c>
      <x:c r="B51" s="39" t="s">
        <x:v>16</x:v>
      </x:c>
      <x:c r="C51" s="39" t="s">
        <x:v>98</x:v>
      </x:c>
      <x:c r="D51" s="39" t="s">
        <x:v>99</x:v>
      </x:c>
      <x:c r="E51" s="39" t="s">
        <x:v>96</x:v>
      </x:c>
      <x:c r="F51" s="39" t="s">
        <x:v>32</x:v>
      </x:c>
      <x:c r="G51" s="39" t="s">
        <x:v>33</x:v>
      </x:c>
      <x:c r="H51" s="39" t="s">
        <x:v>22</x:v>
      </x:c>
      <x:c r="I51" s="44">
        <x:v>30946.97</x:v>
      </x:c>
      <x:c r="J51" s="44">
        <x:v>4023.11</x:v>
      </x:c>
      <x:c r="K51" s="39" t="s">
        <x:v>23</x:v>
      </x:c>
      <x:c r="L51" s="44">
        <x:v>3620.799</x:v>
      </x:c>
      <x:c r="M51" s="44">
        <x:v>72.415980000000005</x:v>
      </x:c>
      <x:c r="N51" s="44">
        <x:v>3548.3830199999998</x:v>
      </x:c>
    </x:row>
    <x:row r="52">
      <x:c r="A52" s="39" t="s">
        <x:v>15</x:v>
      </x:c>
      <x:c r="B52" s="39" t="s">
        <x:v>16</x:v>
      </x:c>
      <x:c r="C52" s="39" t="s">
        <x:v>98</x:v>
      </x:c>
      <x:c r="D52" s="39" t="s">
        <x:v>97</x:v>
      </x:c>
      <x:c r="E52" s="39" t="s">
        <x:v>96</x:v>
      </x:c>
      <x:c r="F52" s="39" t="s">
        <x:v>32</x:v>
      </x:c>
      <x:c r="G52" s="39" t="s">
        <x:v>33</x:v>
      </x:c>
      <x:c r="H52" s="39" t="s">
        <x:v>22</x:v>
      </x:c>
      <x:c r="I52" s="44">
        <x:v>3063.75</x:v>
      </x:c>
      <x:c r="J52" s="44">
        <x:v>398.29</x:v>
      </x:c>
      <x:c r="K52" s="39" t="s">
        <x:v>23</x:v>
      </x:c>
      <x:c r="L52" s="44">
        <x:v>358.46100000000001</x:v>
      </x:c>
      <x:c r="M52" s="44">
        <x:v>7.1692200000000001</x:v>
      </x:c>
      <x:c r="N52" s="44">
        <x:v>351.29178000000002</x:v>
      </x:c>
    </x:row>
    <x:row r="53">
      <x:c r="A53" s="39" t="s">
        <x:v>15</x:v>
      </x:c>
      <x:c r="B53" s="39" t="s">
        <x:v>16</x:v>
      </x:c>
      <x:c r="C53" s="39" t="s">
        <x:v>100</x:v>
      </x:c>
      <x:c r="D53" s="39" t="s">
        <x:v>101</x:v>
      </x:c>
      <x:c r="E53" s="39" t="s">
        <x:v>96</x:v>
      </x:c>
      <x:c r="F53" s="39" t="s">
        <x:v>32</x:v>
      </x:c>
      <x:c r="G53" s="39" t="s">
        <x:v>33</x:v>
      </x:c>
      <x:c r="H53" s="39" t="s">
        <x:v>22</x:v>
      </x:c>
      <x:c r="I53" s="44">
        <x:v>35150.870000000003</x:v>
      </x:c>
      <x:c r="J53" s="44">
        <x:v>4569.6099999999997</x:v>
      </x:c>
      <x:c r="K53" s="39" t="s">
        <x:v>23</x:v>
      </x:c>
      <x:c r="L53" s="44">
        <x:v>4112.6489999999994</x:v>
      </x:c>
      <x:c r="M53" s="44">
        <x:v>82.252979999999994</x:v>
      </x:c>
      <x:c r="N53" s="44">
        <x:v>4030.3960199999992</x:v>
      </x:c>
    </x:row>
    <x:row r="54">
      <x:c r="A54" s="39" t="s">
        <x:v>15</x:v>
      </x:c>
      <x:c r="B54" s="39" t="s">
        <x:v>16</x:v>
      </x:c>
      <x:c r="C54" s="39" t="s">
        <x:v>100</x:v>
      </x:c>
      <x:c r="D54" s="39" t="s">
        <x:v>97</x:v>
      </x:c>
      <x:c r="E54" s="39" t="s">
        <x:v>96</x:v>
      </x:c>
      <x:c r="F54" s="39" t="s">
        <x:v>32</x:v>
      </x:c>
      <x:c r="G54" s="39" t="s">
        <x:v>33</x:v>
      </x:c>
      <x:c r="H54" s="39" t="s">
        <x:v>22</x:v>
      </x:c>
      <x:c r="I54" s="44">
        <x:v>3479.94</x:v>
      </x:c>
      <x:c r="J54" s="44">
        <x:v>452.39</x:v>
      </x:c>
      <x:c r="K54" s="39" t="s">
        <x:v>23</x:v>
      </x:c>
      <x:c r="L54" s="44">
        <x:v>407.15100000000001</x:v>
      </x:c>
      <x:c r="M54" s="44">
        <x:v>8.1430199999999999</x:v>
      </x:c>
      <x:c r="N54" s="44">
        <x:v>399.00798000000003</x:v>
      </x:c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44"/>
      <x:c r="J55" s="50" t="s">
        <x:v>102</x:v>
      </x:c>
      <x:c r="K55" s="50"/>
      <x:c r="L55" s="50" t="n">
        <x:f>SUM(L2:L54)</x:f>
        <x:v>381710.6550000002</x:v>
      </x:c>
      <x:c r="M55" s="50"/>
      <x:c r="N55" s="50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44"/>
      <x:c r="J56" s="50" t="s">
        <x:v>103</x:v>
      </x:c>
      <x:c r="K56" s="50"/>
      <x:c r="L56" s="50" t="n">
        <x:f>+L55*13%</x:f>
        <x:v>49622.38515000003</x:v>
      </x:c>
      <x:c r="M56" s="50"/>
      <x:c r="N56" s="50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44"/>
      <x:c r="J57" s="51" t="s">
        <x:v>104</x:v>
      </x:c>
      <x:c r="K57" s="51"/>
      <x:c r="L57" s="51" t="n">
        <x:f>+L55+L56</x:f>
        <x:v>431333.04015000025</x:v>
      </x:c>
      <x:c r="M57" s="51"/>
      <x:c r="N57" s="51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44"/>
      <x:c r="J58" s="50" t="s">
        <x:v>105</x:v>
      </x:c>
      <x:c r="K58" s="50"/>
      <x:c r="L58" s="50" t="n">
        <x:f>+L55*2%</x:f>
        <x:v>7634.2131000000045</x:v>
      </x:c>
      <x:c r="M58" s="50"/>
      <x:c r="N58" s="50"/>
    </x:row>
    <x:row r="59" ht="15.75" customHeight="1">
      <x:c r="J59" s="50" t="s">
        <x:v>106</x:v>
      </x:c>
      <x:c r="K59" s="50"/>
      <x:c r="L59" s="50" t="n">
        <x:f>+L57-L58</x:f>
        <x:v>423698.82705000025</x:v>
      </x:c>
      <x:c r="M59" s="50"/>
      <x:c r="N59" s="50"/>
    </x:row>
    <x:row r="60" ht="15.75" customHeight="1">
      <x:c r="J60" s="39"/>
      <x:c r="K60" s="39"/>
      <x:c r="L60" s="39"/>
      <x:c r="M60" s="39"/>
      <x:c r="N60" s="39"/>
    </x:row>
    <x:row r="62">
      <x:c r="A62" s="40" t="s">
        <x:v>0</x:v>
      </x:c>
      <x:c r="B62" s="40" t="s">
        <x:v>1</x:v>
      </x:c>
      <x:c r="C62" s="40" t="s">
        <x:v>2</x:v>
      </x:c>
      <x:c r="D62" s="40" t="s">
        <x:v>3</x:v>
      </x:c>
      <x:c r="E62" s="40" t="s">
        <x:v>4</x:v>
      </x:c>
      <x:c r="F62" s="40" t="s">
        <x:v>5</x:v>
      </x:c>
      <x:c r="G62" s="40" t="s">
        <x:v>6</x:v>
      </x:c>
      <x:c r="H62" s="40" t="s">
        <x:v>7</x:v>
      </x:c>
      <x:c r="I62" s="41" t="s">
        <x:v>8</x:v>
      </x:c>
      <x:c r="J62" s="42" t="s">
        <x:v>9</x:v>
      </x:c>
      <x:c r="K62" s="41" t="s">
        <x:v>10</x:v>
      </x:c>
      <x:c r="L62" s="41" t="s">
        <x:v>11</x:v>
      </x:c>
      <x:c r="M62" s="41" t="s">
        <x:v>12</x:v>
      </x:c>
      <x:c r="N62" s="41" t="s">
        <x:v>13</x:v>
      </x:c>
      <x:c r="O62" s="40" t="s">
        <x:v>14</x:v>
      </x:c>
    </x:row>
    <x:row r="63">
      <x:c r="A63" s="39" t="s">
        <x:v>55</x:v>
      </x:c>
      <x:c r="B63" s="39" t="s">
        <x:v>56</x:v>
      </x:c>
      <x:c r="C63" s="39" t="s">
        <x:v>107</x:v>
      </x:c>
      <x:c r="D63" s="39" t="s">
        <x:v>108</x:v>
      </x:c>
      <x:c r="E63" s="39" t="s">
        <x:v>109</x:v>
      </x:c>
      <x:c r="F63" s="39" t="s">
        <x:v>110</x:v>
      </x:c>
      <x:c r="G63" s="39" t="s">
        <x:v>21</x:v>
      </x:c>
      <x:c r="H63" s="39" t="s">
        <x:v>111</x:v>
      </x:c>
      <x:c r="I63" s="44">
        <x:v>342.35</x:v>
      </x:c>
      <x:c r="J63" s="44">
        <x:v>46.21</x:v>
      </x:c>
      <x:c r="K63" s="39" t="s">
        <x:v>23</x:v>
      </x:c>
      <x:c r="L63" s="44">
        <x:v>41.588999999999999</x:v>
      </x:c>
      <x:c r="M63" s="44">
        <x:v>0.83177999999999996</x:v>
      </x:c>
      <x:c r="N63" s="44">
        <x:v>40.757219999999997</x:v>
      </x:c>
    </x:row>
    <x:row r="64">
      <x:c r="A64" s="39" t="s">
        <x:v>55</x:v>
      </x:c>
      <x:c r="B64" s="39" t="s">
        <x:v>56</x:v>
      </x:c>
      <x:c r="C64" s="39" t="s">
        <x:v>112</x:v>
      </x:c>
      <x:c r="D64" s="39" t="s">
        <x:v>113</x:v>
      </x:c>
      <x:c r="E64" s="39" t="s">
        <x:v>109</x:v>
      </x:c>
      <x:c r="F64" s="39" t="s">
        <x:v>110</x:v>
      </x:c>
      <x:c r="G64" s="39" t="s">
        <x:v>21</x:v>
      </x:c>
      <x:c r="H64" s="39" t="s">
        <x:v>111</x:v>
      </x:c>
      <x:c r="I64" s="44">
        <x:v>1563.88</x:v>
      </x:c>
      <x:c r="J64" s="44">
        <x:v>211.12</x:v>
      </x:c>
      <x:c r="K64" s="39" t="s">
        <x:v>23</x:v>
      </x:c>
      <x:c r="L64" s="44">
        <x:v>190.00800000000001</x:v>
      </x:c>
      <x:c r="M64" s="44">
        <x:v>3.8001600000000004</x:v>
      </x:c>
      <x:c r="N64" s="44">
        <x:v>186.20784</x:v>
      </x:c>
    </x:row>
    <x:row r="65">
      <x:c r="A65" s="39" t="s">
        <x:v>55</x:v>
      </x:c>
      <x:c r="B65" s="39" t="s">
        <x:v>56</x:v>
      </x:c>
      <x:c r="C65" s="39" t="s">
        <x:v>114</x:v>
      </x:c>
      <x:c r="D65" s="39" t="s">
        <x:v>115</x:v>
      </x:c>
      <x:c r="E65" s="39" t="s">
        <x:v>109</x:v>
      </x:c>
      <x:c r="F65" s="39" t="s">
        <x:v>20</x:v>
      </x:c>
      <x:c r="G65" s="39" t="s">
        <x:v>21</x:v>
      </x:c>
      <x:c r="H65" s="39" t="s">
        <x:v>111</x:v>
      </x:c>
      <x:c r="I65" s="44">
        <x:v>259.54000000000002</x:v>
      </x:c>
      <x:c r="J65" s="44">
        <x:v>35.04</x:v>
      </x:c>
      <x:c r="K65" s="39" t="s">
        <x:v>23</x:v>
      </x:c>
      <x:c r="L65" s="44">
        <x:v>31.536000000000001</x:v>
      </x:c>
      <x:c r="M65" s="44">
        <x:v>0.63072000000000006</x:v>
      </x:c>
      <x:c r="N65" s="44">
        <x:v>30.905280000000001</x:v>
      </x:c>
    </x:row>
    <x:row r="66">
      <x:c r="A66" s="39" t="s">
        <x:v>55</x:v>
      </x:c>
      <x:c r="B66" s="39" t="s">
        <x:v>56</x:v>
      </x:c>
      <x:c r="C66" s="39" t="s">
        <x:v>116</x:v>
      </x:c>
      <x:c r="D66" s="39" t="s">
        <x:v>117</x:v>
      </x:c>
      <x:c r="E66" s="39" t="s">
        <x:v>109</x:v>
      </x:c>
      <x:c r="F66" s="39" t="s">
        <x:v>110</x:v>
      </x:c>
      <x:c r="G66" s="39" t="s">
        <x:v>21</x:v>
      </x:c>
      <x:c r="H66" s="39" t="s">
        <x:v>111</x:v>
      </x:c>
      <x:c r="I66" s="44">
        <x:v>410.82</x:v>
      </x:c>
      <x:c r="J66" s="44">
        <x:v>55.46</x:v>
      </x:c>
      <x:c r="K66" s="39" t="s">
        <x:v>23</x:v>
      </x:c>
      <x:c r="L66" s="44">
        <x:v>49.914000000000001</x:v>
      </x:c>
      <x:c r="M66" s="44">
        <x:v>0.99828000000000006</x:v>
      </x:c>
      <x:c r="N66" s="44">
        <x:v>48.91572</x:v>
      </x:c>
    </x:row>
    <x:row r="67">
      <x:c r="A67" s="39" t="s">
        <x:v>55</x:v>
      </x:c>
      <x:c r="B67" s="39" t="s">
        <x:v>56</x:v>
      </x:c>
      <x:c r="C67" s="39" t="s">
        <x:v>118</x:v>
      </x:c>
      <x:c r="D67" s="39" t="s">
        <x:v>119</x:v>
      </x:c>
      <x:c r="E67" s="39" t="s">
        <x:v>109</x:v>
      </x:c>
      <x:c r="F67" s="39" t="s">
        <x:v>110</x:v>
      </x:c>
      <x:c r="G67" s="39" t="s">
        <x:v>21</x:v>
      </x:c>
      <x:c r="H67" s="39" t="s">
        <x:v>111</x:v>
      </x:c>
      <x:c r="I67" s="44">
        <x:v>355.88</x:v>
      </x:c>
      <x:c r="J67" s="44">
        <x:v>48.04</x:v>
      </x:c>
      <x:c r="K67" s="39" t="s">
        <x:v>23</x:v>
      </x:c>
      <x:c r="L67" s="44">
        <x:v>43.235999999999997</x:v>
      </x:c>
      <x:c r="M67" s="44">
        <x:v>0.86471999999999993</x:v>
      </x:c>
      <x:c r="N67" s="44">
        <x:v>42.371279999999999</x:v>
      </x:c>
    </x:row>
    <x:row r="68">
      <x:c r="A68" s="39" t="s">
        <x:v>55</x:v>
      </x:c>
      <x:c r="B68" s="39" t="s">
        <x:v>56</x:v>
      </x:c>
      <x:c r="C68" s="39" t="s">
        <x:v>120</x:v>
      </x:c>
      <x:c r="D68" s="39" t="s">
        <x:v>121</x:v>
      </x:c>
      <x:c r="E68" s="39" t="s">
        <x:v>109</x:v>
      </x:c>
      <x:c r="F68" s="39" t="s">
        <x:v>32</x:v>
      </x:c>
      <x:c r="G68" s="39" t="s">
        <x:v>21</x:v>
      </x:c>
      <x:c r="H68" s="39" t="s">
        <x:v>111</x:v>
      </x:c>
      <x:c r="I68" s="44">
        <x:v>331.5</x:v>
      </x:c>
      <x:c r="J68" s="44">
        <x:v>44.75</x:v>
      </x:c>
      <x:c r="K68" s="39" t="s">
        <x:v>23</x:v>
      </x:c>
      <x:c r="L68" s="44">
        <x:v>40.274999999999999</x:v>
      </x:c>
      <x:c r="M68" s="44">
        <x:v>0.80549999999999999</x:v>
      </x:c>
      <x:c r="N68" s="44">
        <x:v>39.469499999999996</x:v>
      </x:c>
    </x:row>
    <x:row r="69">
      <x:c r="A69" s="39" t="s">
        <x:v>55</x:v>
      </x:c>
      <x:c r="B69" s="39" t="s">
        <x:v>56</x:v>
      </x:c>
      <x:c r="C69" s="39" t="s">
        <x:v>122</x:v>
      </x:c>
      <x:c r="D69" s="39" t="s">
        <x:v>123</x:v>
      </x:c>
      <x:c r="E69" s="39" t="s">
        <x:v>109</x:v>
      </x:c>
      <x:c r="F69" s="39" t="s">
        <x:v>110</x:v>
      </x:c>
      <x:c r="G69" s="39" t="s">
        <x:v>21</x:v>
      </x:c>
      <x:c r="H69" s="39" t="s">
        <x:v>111</x:v>
      </x:c>
      <x:c r="I69" s="44">
        <x:v>392.26</x:v>
      </x:c>
      <x:c r="J69" s="44">
        <x:v>52.95</x:v>
      </x:c>
      <x:c r="K69" s="39" t="s">
        <x:v>23</x:v>
      </x:c>
      <x:c r="L69" s="44">
        <x:v>47.655000000000001</x:v>
      </x:c>
      <x:c r="M69" s="44">
        <x:v>0.95310000000000006</x:v>
      </x:c>
      <x:c r="N69" s="44">
        <x:v>46.701900000000002</x:v>
      </x:c>
    </x:row>
    <x:row r="70">
      <x:c r="A70" s="39" t="s">
        <x:v>55</x:v>
      </x:c>
      <x:c r="B70" s="39" t="s">
        <x:v>56</x:v>
      </x:c>
      <x:c r="C70" s="39" t="s">
        <x:v>124</x:v>
      </x:c>
      <x:c r="D70" s="39" t="s">
        <x:v>125</x:v>
      </x:c>
      <x:c r="E70" s="39" t="s">
        <x:v>109</x:v>
      </x:c>
      <x:c r="F70" s="39" t="s">
        <x:v>20</x:v>
      </x:c>
      <x:c r="G70" s="39" t="s">
        <x:v>21</x:v>
      </x:c>
      <x:c r="H70" s="39" t="s">
        <x:v>111</x:v>
      </x:c>
      <x:c r="I70" s="44">
        <x:v>6.6</x:v>
      </x:c>
      <x:c r="J70" s="44">
        <x:v>1.32</x:v>
      </x:c>
      <x:c r="K70" s="39" t="s">
        <x:v>23</x:v>
      </x:c>
      <x:c r="L70" s="44">
        <x:v>1.1880000000000002</x:v>
      </x:c>
      <x:c r="M70" s="44">
        <x:v>2.3760000000000003E-2</x:v>
      </x:c>
      <x:c r="N70" s="44">
        <x:v>1.1642400000000002</x:v>
      </x:c>
    </x:row>
    <x:row r="71">
      <x:c r="A71" s="39" t="s">
        <x:v>55</x:v>
      </x:c>
      <x:c r="B71" s="39" t="s">
        <x:v>56</x:v>
      </x:c>
      <x:c r="C71" s="39" t="s">
        <x:v>124</x:v>
      </x:c>
      <x:c r="D71" s="39" t="s">
        <x:v>125</x:v>
      </x:c>
      <x:c r="E71" s="39" t="s">
        <x:v>109</x:v>
      </x:c>
      <x:c r="F71" s="39" t="s">
        <x:v>20</x:v>
      </x:c>
      <x:c r="G71" s="39" t="s">
        <x:v>21</x:v>
      </x:c>
      <x:c r="H71" s="39" t="s">
        <x:v>111</x:v>
      </x:c>
      <x:c r="I71" s="44">
        <x:v>143.5</x:v>
      </x:c>
      <x:c r="J71" s="44">
        <x:v>28.7</x:v>
      </x:c>
      <x:c r="K71" s="39" t="s">
        <x:v>23</x:v>
      </x:c>
      <x:c r="L71" s="44">
        <x:v>25.83</x:v>
      </x:c>
      <x:c r="M71" s="44">
        <x:v>0.51659999999999995</x:v>
      </x:c>
      <x:c r="N71" s="44">
        <x:v>25.313399999999998</x:v>
      </x:c>
    </x:row>
    <x:row r="72">
      <x:c r="A72" s="39" t="s">
        <x:v>55</x:v>
      </x:c>
      <x:c r="B72" s="39" t="s">
        <x:v>56</x:v>
      </x:c>
      <x:c r="C72" s="39" t="s">
        <x:v>126</x:v>
      </x:c>
      <x:c r="D72" s="39" t="s">
        <x:v>125</x:v>
      </x:c>
      <x:c r="E72" s="39" t="s">
        <x:v>109</x:v>
      </x:c>
      <x:c r="F72" s="39" t="s">
        <x:v>20</x:v>
      </x:c>
      <x:c r="G72" s="39" t="s">
        <x:v>21</x:v>
      </x:c>
      <x:c r="H72" s="39" t="s">
        <x:v>111</x:v>
      </x:c>
      <x:c r="I72" s="44">
        <x:v>368.04</x:v>
      </x:c>
      <x:c r="J72" s="44">
        <x:v>36.799999999999997</x:v>
      </x:c>
      <x:c r="K72" s="39" t="s">
        <x:v>23</x:v>
      </x:c>
      <x:c r="L72" s="44">
        <x:v>33.119999999999997</x:v>
      </x:c>
      <x:c r="M72" s="44">
        <x:v>0.66239999999999999</x:v>
      </x:c>
      <x:c r="N72" s="44">
        <x:v>32.457599999999999</x:v>
      </x:c>
    </x:row>
    <x:row r="73">
      <x:c r="A73" s="39" t="s">
        <x:v>55</x:v>
      </x:c>
      <x:c r="B73" s="39" t="s">
        <x:v>56</x:v>
      </x:c>
      <x:c r="C73" s="39" t="s">
        <x:v>126</x:v>
      </x:c>
      <x:c r="D73" s="39" t="s">
        <x:v>125</x:v>
      </x:c>
      <x:c r="E73" s="39" t="s">
        <x:v>109</x:v>
      </x:c>
      <x:c r="F73" s="39" t="s">
        <x:v>20</x:v>
      </x:c>
      <x:c r="G73" s="39" t="s">
        <x:v>21</x:v>
      </x:c>
      <x:c r="H73" s="39" t="s">
        <x:v>111</x:v>
      </x:c>
      <x:c r="I73" s="44">
        <x:v>146.58000000000001</x:v>
      </x:c>
      <x:c r="J73" s="44">
        <x:v>14.66</x:v>
      </x:c>
      <x:c r="K73" s="39" t="s">
        <x:v>23</x:v>
      </x:c>
      <x:c r="L73" s="44">
        <x:v>13.194000000000001</x:v>
      </x:c>
      <x:c r="M73" s="44">
        <x:v>0.26388</x:v>
      </x:c>
      <x:c r="N73" s="44">
        <x:v>12.930120000000001</x:v>
      </x:c>
    </x:row>
    <x:row r="74">
      <x:c r="A74" s="39" t="s">
        <x:v>55</x:v>
      </x:c>
      <x:c r="B74" s="39" t="s">
        <x:v>56</x:v>
      </x:c>
      <x:c r="C74" s="39" t="s">
        <x:v>126</x:v>
      </x:c>
      <x:c r="D74" s="39" t="s">
        <x:v>125</x:v>
      </x:c>
      <x:c r="E74" s="39" t="s">
        <x:v>109</x:v>
      </x:c>
      <x:c r="F74" s="39" t="s">
        <x:v>20</x:v>
      </x:c>
      <x:c r="G74" s="39" t="s">
        <x:v>21</x:v>
      </x:c>
      <x:c r="H74" s="39" t="s">
        <x:v>111</x:v>
      </x:c>
      <x:c r="I74" s="44">
        <x:v>4013.19</x:v>
      </x:c>
      <x:c r="J74" s="44">
        <x:v>401.32</x:v>
      </x:c>
      <x:c r="K74" s="39" t="s">
        <x:v>23</x:v>
      </x:c>
      <x:c r="L74" s="44">
        <x:v>361.18799999999999</x:v>
      </x:c>
      <x:c r="M74" s="44">
        <x:v>7.2237599999999995</x:v>
      </x:c>
      <x:c r="N74" s="44">
        <x:v>353.96423999999996</x:v>
      </x:c>
    </x:row>
    <x:row r="75">
      <x:c r="A75" s="39" t="s">
        <x:v>55</x:v>
      </x:c>
      <x:c r="B75" s="39" t="s">
        <x:v>56</x:v>
      </x:c>
      <x:c r="C75" s="39" t="s">
        <x:v>127</x:v>
      </x:c>
      <x:c r="D75" s="39" t="s">
        <x:v>128</x:v>
      </x:c>
      <x:c r="E75" s="39" t="s">
        <x:v>109</x:v>
      </x:c>
      <x:c r="F75" s="39" t="s">
        <x:v>20</x:v>
      </x:c>
      <x:c r="G75" s="39" t="s">
        <x:v>21</x:v>
      </x:c>
      <x:c r="H75" s="39" t="s">
        <x:v>111</x:v>
      </x:c>
      <x:c r="I75" s="44">
        <x:v>247.1</x:v>
      </x:c>
      <x:c r="J75" s="44">
        <x:v>33.35</x:v>
      </x:c>
      <x:c r="K75" s="39" t="s">
        <x:v>23</x:v>
      </x:c>
      <x:c r="L75" s="44">
        <x:v>30.015000000000001</x:v>
      </x:c>
      <x:c r="M75" s="44">
        <x:v>0.60030000000000006</x:v>
      </x:c>
      <x:c r="N75" s="44">
        <x:v>29.4147</x:v>
      </x:c>
    </x:row>
    <x:row r="76">
      <x:c r="A76" s="39" t="s">
        <x:v>55</x:v>
      </x:c>
      <x:c r="B76" s="39" t="s">
        <x:v>56</x:v>
      </x:c>
      <x:c r="C76" s="39" t="s">
        <x:v>129</x:v>
      </x:c>
      <x:c r="D76" s="39" t="s">
        <x:v>130</x:v>
      </x:c>
      <x:c r="E76" s="39" t="s">
        <x:v>109</x:v>
      </x:c>
      <x:c r="F76" s="39" t="s">
        <x:v>20</x:v>
      </x:c>
      <x:c r="G76" s="39" t="s">
        <x:v>21</x:v>
      </x:c>
      <x:c r="H76" s="39" t="s">
        <x:v>111</x:v>
      </x:c>
      <x:c r="I76" s="44">
        <x:v>207.81</x:v>
      </x:c>
      <x:c r="J76" s="44">
        <x:v>28.06</x:v>
      </x:c>
      <x:c r="K76" s="39" t="s">
        <x:v>23</x:v>
      </x:c>
      <x:c r="L76" s="44">
        <x:v>25.253999999999998</x:v>
      </x:c>
      <x:c r="M76" s="44">
        <x:v>0.50507999999999997</x:v>
      </x:c>
      <x:c r="N76" s="44">
        <x:v>24.748919999999998</x:v>
      </x:c>
    </x:row>
    <x:row r="77">
      <x:c r="A77" s="39" t="s">
        <x:v>55</x:v>
      </x:c>
      <x:c r="B77" s="39" t="s">
        <x:v>56</x:v>
      </x:c>
      <x:c r="C77" s="39" t="s">
        <x:v>131</x:v>
      </x:c>
      <x:c r="D77" s="39" t="s">
        <x:v>132</x:v>
      </x:c>
      <x:c r="E77" s="39" t="s">
        <x:v>109</x:v>
      </x:c>
      <x:c r="F77" s="39" t="s">
        <x:v>110</x:v>
      </x:c>
      <x:c r="G77" s="39" t="s">
        <x:v>21</x:v>
      </x:c>
      <x:c r="H77" s="39" t="s">
        <x:v>111</x:v>
      </x:c>
      <x:c r="I77" s="44">
        <x:v>3330.48</x:v>
      </x:c>
      <x:c r="J77" s="44">
        <x:v>333.05</x:v>
      </x:c>
      <x:c r="K77" s="39" t="s">
        <x:v>23</x:v>
      </x:c>
      <x:c r="L77" s="44">
        <x:v>299.745</x:v>
      </x:c>
      <x:c r="M77" s="44">
        <x:v>5.9949000000000003</x:v>
      </x:c>
      <x:c r="N77" s="44">
        <x:v>293.75010000000003</x:v>
      </x:c>
    </x:row>
    <x:row r="78">
      <x:c r="A78" s="39" t="s">
        <x:v>55</x:v>
      </x:c>
      <x:c r="B78" s="39" t="s">
        <x:v>56</x:v>
      </x:c>
      <x:c r="C78" s="39" t="s">
        <x:v>133</x:v>
      </x:c>
      <x:c r="D78" s="39" t="s">
        <x:v>132</x:v>
      </x:c>
      <x:c r="E78" s="39" t="s">
        <x:v>109</x:v>
      </x:c>
      <x:c r="F78" s="39" t="s">
        <x:v>110</x:v>
      </x:c>
      <x:c r="G78" s="39" t="s">
        <x:v>21</x:v>
      </x:c>
      <x:c r="H78" s="39" t="s">
        <x:v>111</x:v>
      </x:c>
      <x:c r="I78" s="44">
        <x:v>303.75</x:v>
      </x:c>
      <x:c r="J78" s="44">
        <x:v>60.75</x:v>
      </x:c>
      <x:c r="K78" s="39" t="s">
        <x:v>23</x:v>
      </x:c>
      <x:c r="L78" s="44">
        <x:v>54.675000000000004</x:v>
      </x:c>
      <x:c r="M78" s="44">
        <x:v>1.0935000000000001</x:v>
      </x:c>
      <x:c r="N78" s="44">
        <x:v>53.581500000000005</x:v>
      </x:c>
    </x:row>
    <x:row r="79">
      <x:c r="A79" s="39" t="s">
        <x:v>55</x:v>
      </x:c>
      <x:c r="B79" s="39" t="s">
        <x:v>56</x:v>
      </x:c>
      <x:c r="C79" s="39" t="s">
        <x:v>134</x:v>
      </x:c>
      <x:c r="D79" s="39" t="s">
        <x:v>135</x:v>
      </x:c>
      <x:c r="E79" s="39" t="s">
        <x:v>109</x:v>
      </x:c>
      <x:c r="F79" s="39" t="s">
        <x:v>20</x:v>
      </x:c>
      <x:c r="G79" s="39" t="s">
        <x:v>21</x:v>
      </x:c>
      <x:c r="H79" s="39" t="s">
        <x:v>111</x:v>
      </x:c>
      <x:c r="I79" s="44">
        <x:v>212.91</x:v>
      </x:c>
      <x:c r="J79" s="44">
        <x:v>38.33</x:v>
      </x:c>
      <x:c r="K79" s="39" t="s">
        <x:v>23</x:v>
      </x:c>
      <x:c r="L79" s="44">
        <x:v>34.497</x:v>
      </x:c>
      <x:c r="M79" s="44">
        <x:v>0.68994</x:v>
      </x:c>
      <x:c r="N79" s="44">
        <x:v>33.80706</x:v>
      </x:c>
    </x:row>
    <x:row r="80">
      <x:c r="A80" s="39" t="s">
        <x:v>55</x:v>
      </x:c>
      <x:c r="B80" s="39" t="s">
        <x:v>56</x:v>
      </x:c>
      <x:c r="C80" s="39" t="s">
        <x:v>136</x:v>
      </x:c>
      <x:c r="D80" s="39" t="s">
        <x:v>137</x:v>
      </x:c>
      <x:c r="E80" s="39" t="s">
        <x:v>138</x:v>
      </x:c>
      <x:c r="F80" s="39" t="s">
        <x:v>20</x:v>
      </x:c>
      <x:c r="G80" s="39" t="s">
        <x:v>21</x:v>
      </x:c>
      <x:c r="H80" s="39" t="s">
        <x:v>111</x:v>
      </x:c>
      <x:c r="I80" s="44">
        <x:v>234.45</x:v>
      </x:c>
      <x:c r="J80" s="44">
        <x:v>68.94</x:v>
      </x:c>
      <x:c r="K80" s="39" t="s">
        <x:v>23</x:v>
      </x:c>
      <x:c r="L80" s="44">
        <x:v>62.045999999999999</x:v>
      </x:c>
      <x:c r="M80" s="44">
        <x:v>1.24092</x:v>
      </x:c>
      <x:c r="N80" s="44">
        <x:v>60.805079999999997</x:v>
      </x:c>
    </x:row>
    <x:row r="81">
      <x:c r="A81" s="39" t="s">
        <x:v>55</x:v>
      </x:c>
      <x:c r="B81" s="39" t="s">
        <x:v>56</x:v>
      </x:c>
      <x:c r="C81" s="39" t="s">
        <x:v>139</x:v>
      </x:c>
      <x:c r="D81" s="39" t="s">
        <x:v>140</x:v>
      </x:c>
      <x:c r="E81" s="39" t="s">
        <x:v>138</x:v>
      </x:c>
      <x:c r="F81" s="39" t="s">
        <x:v>20</x:v>
      </x:c>
      <x:c r="G81" s="39" t="s">
        <x:v>21</x:v>
      </x:c>
      <x:c r="H81" s="39" t="s">
        <x:v>111</x:v>
      </x:c>
      <x:c r="I81" s="44">
        <x:v>502.83</x:v>
      </x:c>
      <x:c r="J81" s="44">
        <x:v>124.64</x:v>
      </x:c>
      <x:c r="K81" s="39" t="s">
        <x:v>23</x:v>
      </x:c>
      <x:c r="L81" s="44">
        <x:v>112.176</x:v>
      </x:c>
      <x:c r="M81" s="44">
        <x:v>2.2435200000000002</x:v>
      </x:c>
      <x:c r="N81" s="44">
        <x:v>109.93248</x:v>
      </x:c>
    </x:row>
    <x:row r="82">
      <x:c r="A82" s="39" t="s">
        <x:v>55</x:v>
      </x:c>
      <x:c r="B82" s="39" t="s">
        <x:v>56</x:v>
      </x:c>
      <x:c r="C82" s="39" t="s">
        <x:v>141</x:v>
      </x:c>
      <x:c r="D82" s="39" t="s">
        <x:v>142</x:v>
      </x:c>
      <x:c r="E82" s="39" t="s">
        <x:v>138</x:v>
      </x:c>
      <x:c r="F82" s="39" t="s">
        <x:v>20</x:v>
      </x:c>
      <x:c r="G82" s="39" t="s">
        <x:v>21</x:v>
      </x:c>
      <x:c r="H82" s="39" t="s">
        <x:v>111</x:v>
      </x:c>
      <x:c r="I82" s="44">
        <x:v>253.44</x:v>
      </x:c>
      <x:c r="J82" s="44">
        <x:v>62.29</x:v>
      </x:c>
      <x:c r="K82" s="39" t="s">
        <x:v>23</x:v>
      </x:c>
      <x:c r="L82" s="44">
        <x:v>56.061</x:v>
      </x:c>
      <x:c r="M82" s="44">
        <x:v>1.1212200000000001</x:v>
      </x:c>
      <x:c r="N82" s="44">
        <x:v>54.939779999999999</x:v>
      </x:c>
    </x:row>
    <x:row r="83">
      <x:c r="A83" s="39" t="s">
        <x:v>55</x:v>
      </x:c>
      <x:c r="B83" s="39" t="s">
        <x:v>56</x:v>
      </x:c>
      <x:c r="C83" s="39" t="s">
        <x:v>143</x:v>
      </x:c>
      <x:c r="D83" s="39" t="s">
        <x:v>144</x:v>
      </x:c>
      <x:c r="E83" s="39" t="s">
        <x:v>138</x:v>
      </x:c>
      <x:c r="F83" s="39" t="s">
        <x:v>20</x:v>
      </x:c>
      <x:c r="G83" s="39" t="s">
        <x:v>21</x:v>
      </x:c>
      <x:c r="H83" s="39" t="s">
        <x:v>111</x:v>
      </x:c>
      <x:c r="I83" s="44">
        <x:v>1368.72</x:v>
      </x:c>
      <x:c r="J83" s="44">
        <x:v>204.67</x:v>
      </x:c>
      <x:c r="K83" s="39" t="s">
        <x:v>23</x:v>
      </x:c>
      <x:c r="L83" s="44">
        <x:v>184.203</x:v>
      </x:c>
      <x:c r="M83" s="44">
        <x:v>3.6840600000000001</x:v>
      </x:c>
      <x:c r="N83" s="44">
        <x:v>180.51894000000001</x:v>
      </x:c>
    </x:row>
    <x:row r="84">
      <x:c r="A84" s="39" t="s">
        <x:v>55</x:v>
      </x:c>
      <x:c r="B84" s="39" t="s">
        <x:v>56</x:v>
      </x:c>
      <x:c r="C84" s="39" t="s">
        <x:v>145</x:v>
      </x:c>
      <x:c r="D84" s="39" t="s">
        <x:v>146</x:v>
      </x:c>
      <x:c r="E84" s="39" t="s">
        <x:v>138</x:v>
      </x:c>
      <x:c r="F84" s="39" t="s">
        <x:v>20</x:v>
      </x:c>
      <x:c r="G84" s="39" t="s">
        <x:v>21</x:v>
      </x:c>
      <x:c r="H84" s="39" t="s">
        <x:v>111</x:v>
      </x:c>
      <x:c r="I84" s="44">
        <x:v>1037.43</x:v>
      </x:c>
      <x:c r="J84" s="44">
        <x:v>258.29000000000002</x:v>
      </x:c>
      <x:c r="K84" s="39" t="s">
        <x:v>23</x:v>
      </x:c>
      <x:c r="L84" s="44">
        <x:v>232.46100000000001</x:v>
      </x:c>
      <x:c r="M84" s="44">
        <x:v>4.6492200000000006</x:v>
      </x:c>
      <x:c r="N84" s="44">
        <x:v>227.81178</x:v>
      </x:c>
    </x:row>
    <x:row r="85">
      <x:c r="A85" s="39" t="s">
        <x:v>55</x:v>
      </x:c>
      <x:c r="B85" s="39" t="s">
        <x:v>56</x:v>
      </x:c>
      <x:c r="C85" s="39" t="s">
        <x:v>147</x:v>
      </x:c>
      <x:c r="D85" s="39" t="s">
        <x:v>148</x:v>
      </x:c>
      <x:c r="E85" s="39" t="s">
        <x:v>138</x:v>
      </x:c>
      <x:c r="F85" s="39" t="s">
        <x:v>110</x:v>
      </x:c>
      <x:c r="G85" s="39" t="s">
        <x:v>21</x:v>
      </x:c>
      <x:c r="H85" s="39" t="s">
        <x:v>111</x:v>
      </x:c>
      <x:c r="I85" s="44">
        <x:v>627.57000000000005</x:v>
      </x:c>
      <x:c r="J85" s="44">
        <x:v>140.28</x:v>
      </x:c>
      <x:c r="K85" s="39" t="s">
        <x:v>23</x:v>
      </x:c>
      <x:c r="L85" s="44">
        <x:v>126.25200000000001</x:v>
      </x:c>
      <x:c r="M85" s="44">
        <x:v>2.5250400000000002</x:v>
      </x:c>
      <x:c r="N85" s="44">
        <x:v>123.72696000000001</x:v>
      </x:c>
    </x:row>
    <x:row r="86">
      <x:c r="A86" s="39" t="s">
        <x:v>55</x:v>
      </x:c>
      <x:c r="B86" s="39" t="s">
        <x:v>56</x:v>
      </x:c>
      <x:c r="C86" s="39" t="s">
        <x:v>149</x:v>
      </x:c>
      <x:c r="D86" s="39" t="s">
        <x:v>150</x:v>
      </x:c>
      <x:c r="E86" s="39" t="s">
        <x:v>138</x:v>
      </x:c>
      <x:c r="F86" s="39" t="s">
        <x:v>110</x:v>
      </x:c>
      <x:c r="G86" s="39" t="s">
        <x:v>21</x:v>
      </x:c>
      <x:c r="H86" s="39" t="s">
        <x:v>111</x:v>
      </x:c>
      <x:c r="I86" s="44">
        <x:v>224.37</x:v>
      </x:c>
      <x:c r="J86" s="44">
        <x:v>55.02</x:v>
      </x:c>
      <x:c r="K86" s="39" t="s">
        <x:v>23</x:v>
      </x:c>
      <x:c r="L86" s="44">
        <x:v>49.518000000000001</x:v>
      </x:c>
      <x:c r="M86" s="44">
        <x:v>0.99036000000000002</x:v>
      </x:c>
      <x:c r="N86" s="44">
        <x:v>48.527639999999998</x:v>
      </x:c>
    </x:row>
    <x:row r="87">
      <x:c r="A87" s="39" t="s">
        <x:v>55</x:v>
      </x:c>
      <x:c r="B87" s="39" t="s">
        <x:v>56</x:v>
      </x:c>
      <x:c r="C87" s="39" t="s">
        <x:v>151</x:v>
      </x:c>
      <x:c r="D87" s="39" t="s">
        <x:v>152</x:v>
      </x:c>
      <x:c r="E87" s="39" t="s">
        <x:v>138</x:v>
      </x:c>
      <x:c r="F87" s="39" t="s">
        <x:v>20</x:v>
      </x:c>
      <x:c r="G87" s="39" t="s">
        <x:v>21</x:v>
      </x:c>
      <x:c r="H87" s="39" t="s">
        <x:v>111</x:v>
      </x:c>
      <x:c r="I87" s="44">
        <x:v>597.41999999999996</x:v>
      </x:c>
      <x:c r="J87" s="44">
        <x:v>118.72</x:v>
      </x:c>
      <x:c r="K87" s="39" t="s">
        <x:v>23</x:v>
      </x:c>
      <x:c r="L87" s="44">
        <x:v>106.848</x:v>
      </x:c>
      <x:c r="M87" s="44">
        <x:v>2.1369600000000002</x:v>
      </x:c>
      <x:c r="N87" s="44">
        <x:v>104.71104</x:v>
      </x:c>
    </x:row>
    <x:row r="88">
      <x:c r="A88" s="39" t="s">
        <x:v>55</x:v>
      </x:c>
      <x:c r="B88" s="39" t="s">
        <x:v>56</x:v>
      </x:c>
      <x:c r="C88" s="39" t="s">
        <x:v>153</x:v>
      </x:c>
      <x:c r="D88" s="39" t="s">
        <x:v>154</x:v>
      </x:c>
      <x:c r="E88" s="39" t="s">
        <x:v>138</x:v>
      </x:c>
      <x:c r="F88" s="39" t="s">
        <x:v>20</x:v>
      </x:c>
      <x:c r="G88" s="39" t="s">
        <x:v>21</x:v>
      </x:c>
      <x:c r="H88" s="39" t="s">
        <x:v>111</x:v>
      </x:c>
      <x:c r="I88" s="44">
        <x:v>763.8</x:v>
      </x:c>
      <x:c r="J88" s="44">
        <x:v>22.92</x:v>
      </x:c>
      <x:c r="K88" s="39" t="s">
        <x:v>23</x:v>
      </x:c>
      <x:c r="L88" s="44">
        <x:v>20.628000000000004</x:v>
      </x:c>
      <x:c r="M88" s="44">
        <x:v>0.41256000000000009</x:v>
      </x:c>
      <x:c r="N88" s="44">
        <x:v>20.215440000000005</x:v>
      </x:c>
    </x:row>
    <x:row r="89">
      <x:c r="A89" s="39" t="s">
        <x:v>55</x:v>
      </x:c>
      <x:c r="B89" s="39" t="s">
        <x:v>56</x:v>
      </x:c>
      <x:c r="C89" s="39" t="s">
        <x:v>155</x:v>
      </x:c>
      <x:c r="D89" s="39" t="s">
        <x:v>156</x:v>
      </x:c>
      <x:c r="E89" s="39" t="s">
        <x:v>138</x:v>
      </x:c>
      <x:c r="F89" s="39" t="s">
        <x:v>20</x:v>
      </x:c>
      <x:c r="G89" s="39" t="s">
        <x:v>21</x:v>
      </x:c>
      <x:c r="H89" s="39" t="s">
        <x:v>111</x:v>
      </x:c>
      <x:c r="I89" s="44">
        <x:v>7405</x:v>
      </x:c>
      <x:c r="J89" s="44">
        <x:v>1839.35</x:v>
      </x:c>
      <x:c r="K89" s="39" t="s">
        <x:v>23</x:v>
      </x:c>
      <x:c r="L89" s="44">
        <x:v>1655.415</x:v>
      </x:c>
      <x:c r="M89" s="44">
        <x:v>33.1083</x:v>
      </x:c>
      <x:c r="N89" s="44">
        <x:v>1622.3066999999999</x:v>
      </x:c>
    </x:row>
    <x:row r="90">
      <x:c r="A90" s="39" t="s">
        <x:v>55</x:v>
      </x:c>
      <x:c r="B90" s="39" t="s">
        <x:v>56</x:v>
      </x:c>
      <x:c r="C90" s="39" t="s">
        <x:v>157</x:v>
      </x:c>
      <x:c r="D90" s="39" t="s">
        <x:v>158</x:v>
      </x:c>
      <x:c r="E90" s="39" t="s">
        <x:v>138</x:v>
      </x:c>
      <x:c r="F90" s="39" t="s">
        <x:v>20</x:v>
      </x:c>
      <x:c r="G90" s="39" t="s">
        <x:v>21</x:v>
      </x:c>
      <x:c r="H90" s="39" t="s">
        <x:v>111</x:v>
      </x:c>
      <x:c r="I90" s="44">
        <x:v>1627.73</x:v>
      </x:c>
      <x:c r="J90" s="44">
        <x:v>403.66</x:v>
      </x:c>
      <x:c r="K90" s="39" t="s">
        <x:v>23</x:v>
      </x:c>
      <x:c r="L90" s="44">
        <x:v>363.29400000000004</x:v>
      </x:c>
      <x:c r="M90" s="44">
        <x:v>7.265880000000001</x:v>
      </x:c>
      <x:c r="N90" s="44">
        <x:v>356.02812000000006</x:v>
      </x:c>
    </x:row>
    <x:row r="91">
      <x:c r="A91" s="39" t="s">
        <x:v>55</x:v>
      </x:c>
      <x:c r="B91" s="39" t="s">
        <x:v>56</x:v>
      </x:c>
      <x:c r="C91" s="39" t="s">
        <x:v>159</x:v>
      </x:c>
      <x:c r="D91" s="39" t="s">
        <x:v>160</x:v>
      </x:c>
      <x:c r="E91" s="39" t="s">
        <x:v>138</x:v>
      </x:c>
      <x:c r="F91" s="39" t="s">
        <x:v>20</x:v>
      </x:c>
      <x:c r="G91" s="39" t="s">
        <x:v>21</x:v>
      </x:c>
      <x:c r="H91" s="39" t="s">
        <x:v>111</x:v>
      </x:c>
      <x:c r="I91" s="44">
        <x:v>8212</x:v>
      </x:c>
      <x:c r="J91" s="44">
        <x:v>1837.56</x:v>
      </x:c>
      <x:c r="K91" s="39" t="s">
        <x:v>23</x:v>
      </x:c>
      <x:c r="L91" s="44">
        <x:v>1653.8040000000001</x:v>
      </x:c>
      <x:c r="M91" s="44">
        <x:v>33.076080000000005</x:v>
      </x:c>
      <x:c r="N91" s="44">
        <x:v>1620.72792</x:v>
      </x:c>
    </x:row>
    <x:row r="92">
      <x:c r="A92" s="39" t="s">
        <x:v>55</x:v>
      </x:c>
      <x:c r="B92" s="39" t="s">
        <x:v>56</x:v>
      </x:c>
      <x:c r="C92" s="39" t="s">
        <x:v>161</x:v>
      </x:c>
      <x:c r="D92" s="39" t="s">
        <x:v>162</x:v>
      </x:c>
      <x:c r="E92" s="39" t="s">
        <x:v>138</x:v>
      </x:c>
      <x:c r="F92" s="39" t="s">
        <x:v>20</x:v>
      </x:c>
      <x:c r="G92" s="39" t="s">
        <x:v>21</x:v>
      </x:c>
      <x:c r="H92" s="39" t="s">
        <x:v>111</x:v>
      </x:c>
      <x:c r="I92" s="44">
        <x:v>562.38</x:v>
      </x:c>
      <x:c r="J92" s="44">
        <x:v>137.32</x:v>
      </x:c>
      <x:c r="K92" s="39" t="s">
        <x:v>23</x:v>
      </x:c>
      <x:c r="L92" s="44">
        <x:v>123.58799999999999</x:v>
      </x:c>
      <x:c r="M92" s="44">
        <x:v>2.4717599999999997</x:v>
      </x:c>
      <x:c r="N92" s="44">
        <x:v>121.11623999999999</x:v>
      </x:c>
    </x:row>
    <x:row r="93">
      <x:c r="A93" s="39" t="s">
        <x:v>55</x:v>
      </x:c>
      <x:c r="B93" s="39" t="s">
        <x:v>56</x:v>
      </x:c>
      <x:c r="C93" s="39" t="s">
        <x:v>163</x:v>
      </x:c>
      <x:c r="D93" s="39" t="s">
        <x:v>164</x:v>
      </x:c>
      <x:c r="E93" s="39" t="s">
        <x:v>138</x:v>
      </x:c>
      <x:c r="F93" s="39" t="s">
        <x:v>20</x:v>
      </x:c>
      <x:c r="G93" s="39" t="s">
        <x:v>21</x:v>
      </x:c>
      <x:c r="H93" s="39" t="s">
        <x:v>111</x:v>
      </x:c>
      <x:c r="I93" s="44">
        <x:v>0</x:v>
      </x:c>
      <x:c r="J93" s="44">
        <x:v>416.89</x:v>
      </x:c>
      <x:c r="K93" s="39" t="s">
        <x:v>23</x:v>
      </x:c>
      <x:c r="L93" s="44">
        <x:v>375.20100000000002</x:v>
      </x:c>
      <x:c r="M93" s="44">
        <x:v>7.5040200000000006</x:v>
      </x:c>
      <x:c r="N93" s="44">
        <x:v>367.69698</x:v>
      </x:c>
    </x:row>
    <x:row r="94">
      <x:c r="A94" s="39" t="s">
        <x:v>55</x:v>
      </x:c>
      <x:c r="B94" s="39" t="s">
        <x:v>56</x:v>
      </x:c>
      <x:c r="C94" s="39" t="s">
        <x:v>165</x:v>
      </x:c>
      <x:c r="D94" s="39" t="s">
        <x:v>166</x:v>
      </x:c>
      <x:c r="E94" s="39" t="s">
        <x:v>138</x:v>
      </x:c>
      <x:c r="F94" s="39" t="s">
        <x:v>20</x:v>
      </x:c>
      <x:c r="G94" s="39" t="s">
        <x:v>21</x:v>
      </x:c>
      <x:c r="H94" s="39" t="s">
        <x:v>111</x:v>
      </x:c>
      <x:c r="I94" s="44">
        <x:v>717.57</x:v>
      </x:c>
      <x:c r="J94" s="44">
        <x:v>178.32</x:v>
      </x:c>
      <x:c r="K94" s="39" t="s">
        <x:v>23</x:v>
      </x:c>
      <x:c r="L94" s="44">
        <x:v>160.488</x:v>
      </x:c>
      <x:c r="M94" s="44">
        <x:v>3.2097600000000002</x:v>
      </x:c>
      <x:c r="N94" s="44">
        <x:v>157.27824000000001</x:v>
      </x:c>
    </x:row>
    <x:row r="95">
      <x:c r="A95" s="39" t="s">
        <x:v>55</x:v>
      </x:c>
      <x:c r="B95" s="39" t="s">
        <x:v>56</x:v>
      </x:c>
      <x:c r="C95" s="39" t="s">
        <x:v>167</x:v>
      </x:c>
      <x:c r="D95" s="39" t="s">
        <x:v>168</x:v>
      </x:c>
      <x:c r="E95" s="39" t="s">
        <x:v>138</x:v>
      </x:c>
      <x:c r="F95" s="39" t="s">
        <x:v>110</x:v>
      </x:c>
      <x:c r="G95" s="39" t="s">
        <x:v>21</x:v>
      </x:c>
      <x:c r="H95" s="39" t="s">
        <x:v>111</x:v>
      </x:c>
      <x:c r="I95" s="44">
        <x:v>490.48</x:v>
      </x:c>
      <x:c r="J95" s="44">
        <x:v>109.43</x:v>
      </x:c>
      <x:c r="K95" s="39" t="s">
        <x:v>23</x:v>
      </x:c>
      <x:c r="L95" s="44">
        <x:v>98.487000000000009</x:v>
      </x:c>
      <x:c r="M95" s="44">
        <x:v>1.9697400000000003</x:v>
      </x:c>
      <x:c r="N95" s="44">
        <x:v>96.517260000000007</x:v>
      </x:c>
    </x:row>
    <x:row r="96">
      <x:c r="A96" s="39" t="s">
        <x:v>55</x:v>
      </x:c>
      <x:c r="B96" s="39" t="s">
        <x:v>56</x:v>
      </x:c>
      <x:c r="C96" s="39" t="s">
        <x:v>169</x:v>
      </x:c>
      <x:c r="D96" s="39" t="s">
        <x:v>170</x:v>
      </x:c>
      <x:c r="E96" s="39" t="s">
        <x:v>138</x:v>
      </x:c>
      <x:c r="F96" s="39" t="s">
        <x:v>110</x:v>
      </x:c>
      <x:c r="G96" s="39" t="s">
        <x:v>21</x:v>
      </x:c>
      <x:c r="H96" s="39" t="s">
        <x:v>111</x:v>
      </x:c>
      <x:c r="I96" s="44">
        <x:v>296.01</x:v>
      </x:c>
      <x:c r="J96" s="44">
        <x:v>65.680000000000007</x:v>
      </x:c>
      <x:c r="K96" s="39" t="s">
        <x:v>23</x:v>
      </x:c>
      <x:c r="L96" s="44">
        <x:v>59.112000000000009</x:v>
      </x:c>
      <x:c r="M96" s="44">
        <x:v>1.1822400000000002</x:v>
      </x:c>
      <x:c r="N96" s="44">
        <x:v>57.929760000000009</x:v>
      </x:c>
    </x:row>
    <x:row r="97">
      <x:c r="A97" s="39" t="s">
        <x:v>55</x:v>
      </x:c>
      <x:c r="B97" s="39" t="s">
        <x:v>56</x:v>
      </x:c>
      <x:c r="C97" s="39" t="s">
        <x:v>171</x:v>
      </x:c>
      <x:c r="D97" s="39" t="s">
        <x:v>172</x:v>
      </x:c>
      <x:c r="E97" s="39" t="s">
        <x:v>138</x:v>
      </x:c>
      <x:c r="F97" s="39" t="s">
        <x:v>110</x:v>
      </x:c>
      <x:c r="G97" s="39" t="s">
        <x:v>21</x:v>
      </x:c>
      <x:c r="H97" s="39" t="s">
        <x:v>111</x:v>
      </x:c>
      <x:c r="I97" s="44">
        <x:v>587.25</x:v>
      </x:c>
      <x:c r="J97" s="44">
        <x:v>131.21</x:v>
      </x:c>
      <x:c r="K97" s="39" t="s">
        <x:v>23</x:v>
      </x:c>
      <x:c r="L97" s="44">
        <x:v>118.08900000000001</x:v>
      </x:c>
      <x:c r="M97" s="44">
        <x:v>2.3617800000000004</x:v>
      </x:c>
      <x:c r="N97" s="44">
        <x:v>115.72722000000002</x:v>
      </x:c>
    </x:row>
    <x:row r="98">
      <x:c r="A98" s="39" t="s">
        <x:v>15</x:v>
      </x:c>
      <x:c r="B98" s="39" t="s">
        <x:v>16</x:v>
      </x:c>
      <x:c r="C98" s="39" t="s">
        <x:v>173</x:v>
      </x:c>
      <x:c r="D98" s="39" t="s">
        <x:v>174</x:v>
      </x:c>
      <x:c r="E98" s="39" t="s">
        <x:v>19</x:v>
      </x:c>
      <x:c r="F98" s="39" t="s">
        <x:v>59</x:v>
      </x:c>
      <x:c r="G98" s="39" t="s">
        <x:v>33</x:v>
      </x:c>
      <x:c r="H98" s="39" t="s">
        <x:v>111</x:v>
      </x:c>
      <x:c r="I98" s="44">
        <x:v>335.34</x:v>
      </x:c>
      <x:c r="J98" s="44">
        <x:v>60.35</x:v>
      </x:c>
      <x:c r="K98" s="39" t="s">
        <x:v>23</x:v>
      </x:c>
      <x:c r="L98" s="44">
        <x:v>54.315000000000005</x:v>
      </x:c>
      <x:c r="M98" s="44">
        <x:v>1.0863</x:v>
      </x:c>
      <x:c r="N98" s="44">
        <x:v>53.228700000000003</x:v>
      </x:c>
    </x:row>
    <x:row r="99">
      <x:c r="A99" s="39" t="s">
        <x:v>15</x:v>
      </x:c>
      <x:c r="B99" s="39" t="s">
        <x:v>16</x:v>
      </x:c>
      <x:c r="C99" s="39" t="s">
        <x:v>173</x:v>
      </x:c>
      <x:c r="D99" s="39" t="s">
        <x:v>174</x:v>
      </x:c>
      <x:c r="E99" s="39" t="s">
        <x:v>19</x:v>
      </x:c>
      <x:c r="F99" s="39" t="s">
        <x:v>59</x:v>
      </x:c>
      <x:c r="G99" s="39" t="s">
        <x:v>33</x:v>
      </x:c>
      <x:c r="H99" s="39" t="s">
        <x:v>111</x:v>
      </x:c>
      <x:c r="I99" s="44">
        <x:v>1356.34</x:v>
      </x:c>
      <x:c r="J99" s="44">
        <x:v>244.14</x:v>
      </x:c>
      <x:c r="K99" s="39" t="s">
        <x:v>23</x:v>
      </x:c>
      <x:c r="L99" s="44">
        <x:v>219.726</x:v>
      </x:c>
      <x:c r="M99" s="44">
        <x:v>4.39452</x:v>
      </x:c>
      <x:c r="N99" s="44">
        <x:v>215.33148</x:v>
      </x:c>
    </x:row>
    <x:row r="100">
      <x:c r="A100" s="39" t="s">
        <x:v>15</x:v>
      </x:c>
      <x:c r="B100" s="39" t="s">
        <x:v>16</x:v>
      </x:c>
      <x:c r="C100" s="39" t="s">
        <x:v>173</x:v>
      </x:c>
      <x:c r="D100" s="39" t="s">
        <x:v>174</x:v>
      </x:c>
      <x:c r="E100" s="39" t="s">
        <x:v>19</x:v>
      </x:c>
      <x:c r="F100" s="39" t="s">
        <x:v>59</x:v>
      </x:c>
      <x:c r="G100" s="39" t="s">
        <x:v>33</x:v>
      </x:c>
      <x:c r="H100" s="39" t="s">
        <x:v>111</x:v>
      </x:c>
      <x:c r="I100" s="44">
        <x:v>111.9</x:v>
      </x:c>
      <x:c r="J100" s="44">
        <x:v>20.149999999999999</x:v>
      </x:c>
      <x:c r="K100" s="39" t="s">
        <x:v>23</x:v>
      </x:c>
      <x:c r="L100" s="44">
        <x:v>18.134999999999998</x:v>
      </x:c>
      <x:c r="M100" s="44">
        <x:v>0.36269999999999997</x:v>
      </x:c>
      <x:c r="N100" s="44">
        <x:v>17.772299999999998</x:v>
      </x:c>
    </x:row>
    <x:row r="101">
      <x:c r="A101" s="39" t="s">
        <x:v>15</x:v>
      </x:c>
      <x:c r="B101" s="39" t="s">
        <x:v>16</x:v>
      </x:c>
      <x:c r="C101" s="39" t="s">
        <x:v>175</x:v>
      </x:c>
      <x:c r="D101" s="39" t="s">
        <x:v>176</x:v>
      </x:c>
      <x:c r="E101" s="39" t="s">
        <x:v>19</x:v>
      </x:c>
      <x:c r="F101" s="39" t="s">
        <x:v>59</x:v>
      </x:c>
      <x:c r="G101" s="39" t="s">
        <x:v>33</x:v>
      </x:c>
      <x:c r="H101" s="39" t="s">
        <x:v>111</x:v>
      </x:c>
      <x:c r="I101" s="44">
        <x:v>62.06</x:v>
      </x:c>
      <x:c r="J101" s="44">
        <x:v>13.03</x:v>
      </x:c>
      <x:c r="K101" s="39" t="s">
        <x:v>23</x:v>
      </x:c>
      <x:c r="L101" s="44">
        <x:v>11.727</x:v>
      </x:c>
      <x:c r="M101" s="44">
        <x:v>0.23454</x:v>
      </x:c>
      <x:c r="N101" s="44">
        <x:v>11.492459999999999</x:v>
      </x:c>
    </x:row>
    <x:row r="102">
      <x:c r="A102" s="39" t="s">
        <x:v>15</x:v>
      </x:c>
      <x:c r="B102" s="39" t="s">
        <x:v>16</x:v>
      </x:c>
      <x:c r="C102" s="39" t="s">
        <x:v>175</x:v>
      </x:c>
      <x:c r="D102" s="39" t="s">
        <x:v>176</x:v>
      </x:c>
      <x:c r="E102" s="39" t="s">
        <x:v>19</x:v>
      </x:c>
      <x:c r="F102" s="39" t="s">
        <x:v>59</x:v>
      </x:c>
      <x:c r="G102" s="39" t="s">
        <x:v>33</x:v>
      </x:c>
      <x:c r="H102" s="39" t="s">
        <x:v>111</x:v>
      </x:c>
      <x:c r="I102" s="44">
        <x:v>97.48</x:v>
      </x:c>
      <x:c r="J102" s="44">
        <x:v>20.47</x:v>
      </x:c>
      <x:c r="K102" s="39" t="s">
        <x:v>23</x:v>
      </x:c>
      <x:c r="L102" s="44">
        <x:v>18.422999999999998</x:v>
      </x:c>
      <x:c r="M102" s="44">
        <x:v>0.36845999999999995</x:v>
      </x:c>
      <x:c r="N102" s="44">
        <x:v>18.054539999999999</x:v>
      </x:c>
    </x:row>
    <x:row r="103">
      <x:c r="A103" s="39" t="s">
        <x:v>15</x:v>
      </x:c>
      <x:c r="B103" s="39" t="s">
        <x:v>16</x:v>
      </x:c>
      <x:c r="C103" s="39" t="s">
        <x:v>177</x:v>
      </x:c>
      <x:c r="D103" s="39" t="s">
        <x:v>178</x:v>
      </x:c>
      <x:c r="E103" s="39" t="s">
        <x:v>19</x:v>
      </x:c>
      <x:c r="F103" s="39" t="s">
        <x:v>20</x:v>
      </x:c>
      <x:c r="G103" s="39" t="s">
        <x:v>33</x:v>
      </x:c>
      <x:c r="H103" s="39" t="s">
        <x:v>111</x:v>
      </x:c>
      <x:c r="I103" s="44">
        <x:v>139.19999999999999</x:v>
      </x:c>
      <x:c r="J103" s="44">
        <x:v>20.84</x:v>
      </x:c>
      <x:c r="K103" s="39" t="s">
        <x:v>23</x:v>
      </x:c>
      <x:c r="L103" s="44">
        <x:v>18.756</x:v>
      </x:c>
      <x:c r="M103" s="44">
        <x:v>0.37512000000000001</x:v>
      </x:c>
      <x:c r="N103" s="44">
        <x:v>18.380880000000001</x:v>
      </x:c>
    </x:row>
    <x:row r="104">
      <x:c r="A104" s="39" t="s">
        <x:v>15</x:v>
      </x:c>
      <x:c r="B104" s="39" t="s">
        <x:v>16</x:v>
      </x:c>
      <x:c r="C104" s="39" t="s">
        <x:v>173</x:v>
      </x:c>
      <x:c r="D104" s="39" t="s">
        <x:v>174</x:v>
      </x:c>
      <x:c r="E104" s="39" t="s">
        <x:v>19</x:v>
      </x:c>
      <x:c r="F104" s="39" t="s">
        <x:v>59</x:v>
      </x:c>
      <x:c r="G104" s="39" t="s">
        <x:v>33</x:v>
      </x:c>
      <x:c r="H104" s="39" t="s">
        <x:v>111</x:v>
      </x:c>
      <x:c r="I104" s="44">
        <x:v>-13.14</x:v>
      </x:c>
      <x:c r="J104" s="44">
        <x:v>-2.36</x:v>
      </x:c>
      <x:c r="K104" s="39" t="s">
        <x:v>23</x:v>
      </x:c>
      <x:c r="L104" s="44">
        <x:v>-2.1240000000000001</x:v>
      </x:c>
      <x:c r="M104" s="44">
        <x:v>-4.2480000000000004E-2</x:v>
      </x:c>
      <x:c r="N104" s="44">
        <x:v>-2.0815200000000003</x:v>
      </x:c>
    </x:row>
    <x:row r="105">
      <x:c r="A105" s="39" t="s">
        <x:v>15</x:v>
      </x:c>
      <x:c r="B105" s="39" t="s">
        <x:v>16</x:v>
      </x:c>
      <x:c r="C105" s="39" t="s">
        <x:v>173</x:v>
      </x:c>
      <x:c r="D105" s="39" t="s">
        <x:v>174</x:v>
      </x:c>
      <x:c r="E105" s="39" t="s">
        <x:v>19</x:v>
      </x:c>
      <x:c r="F105" s="39" t="s">
        <x:v>59</x:v>
      </x:c>
      <x:c r="G105" s="39" t="s">
        <x:v>33</x:v>
      </x:c>
      <x:c r="H105" s="39" t="s">
        <x:v>111</x:v>
      </x:c>
      <x:c r="I105" s="44">
        <x:v>-1.74</x:v>
      </x:c>
      <x:c r="J105" s="44">
        <x:v>-0.32</x:v>
      </x:c>
      <x:c r="K105" s="39" t="s">
        <x:v>23</x:v>
      </x:c>
      <x:c r="L105" s="44">
        <x:v>-0.28800000000000003</x:v>
      </x:c>
      <x:c r="M105" s="44">
        <x:v>-5.7600000000000004E-3</x:v>
      </x:c>
      <x:c r="N105" s="44">
        <x:v>-0.28224000000000005</x:v>
      </x:c>
    </x:row>
    <x:row r="106">
      <x:c r="A106" s="39" t="s">
        <x:v>15</x:v>
      </x:c>
      <x:c r="B106" s="39" t="s">
        <x:v>16</x:v>
      </x:c>
      <x:c r="C106" s="39" t="s">
        <x:v>173</x:v>
      </x:c>
      <x:c r="D106" s="39" t="s">
        <x:v>174</x:v>
      </x:c>
      <x:c r="E106" s="39" t="s">
        <x:v>19</x:v>
      </x:c>
      <x:c r="F106" s="39" t="s">
        <x:v>59</x:v>
      </x:c>
      <x:c r="G106" s="39" t="s">
        <x:v>33</x:v>
      </x:c>
      <x:c r="H106" s="39" t="s">
        <x:v>111</x:v>
      </x:c>
      <x:c r="I106" s="44">
        <x:v>-61.64</x:v>
      </x:c>
      <x:c r="J106" s="44">
        <x:v>-11.09</x:v>
      </x:c>
      <x:c r="K106" s="39" t="s">
        <x:v>23</x:v>
      </x:c>
      <x:c r="L106" s="44">
        <x:v>-9.9809999999999999</x:v>
      </x:c>
      <x:c r="M106" s="44">
        <x:v>-0.19961999999999999</x:v>
      </x:c>
      <x:c r="N106" s="44">
        <x:v>-9.7813800000000004</x:v>
      </x:c>
    </x:row>
    <x:row r="107">
      <x:c r="A107" s="39" t="s">
        <x:v>55</x:v>
      </x:c>
      <x:c r="B107" s="39" t="s">
        <x:v>56</x:v>
      </x:c>
      <x:c r="C107" s="39" t="s">
        <x:v>179</x:v>
      </x:c>
      <x:c r="D107" s="39" t="s">
        <x:v>180</x:v>
      </x:c>
      <x:c r="E107" s="39" t="s">
        <x:v>19</x:v>
      </x:c>
      <x:c r="F107" s="39" t="s">
        <x:v>59</x:v>
      </x:c>
      <x:c r="G107" s="39" t="s">
        <x:v>21</x:v>
      </x:c>
      <x:c r="H107" s="39" t="s">
        <x:v>111</x:v>
      </x:c>
      <x:c r="I107" s="44">
        <x:v>2517.64</x:v>
      </x:c>
      <x:c r="J107" s="44">
        <x:v>402.82</x:v>
      </x:c>
      <x:c r="K107" s="39" t="s">
        <x:v>23</x:v>
      </x:c>
      <x:c r="L107" s="44">
        <x:v>362.53800000000001</x:v>
      </x:c>
      <x:c r="M107" s="44">
        <x:v>7.2507600000000005</x:v>
      </x:c>
      <x:c r="N107" s="44">
        <x:v>355.28724</x:v>
      </x:c>
    </x:row>
    <x:row r="108">
      <x:c r="A108" s="39" t="s">
        <x:v>55</x:v>
      </x:c>
      <x:c r="B108" s="39" t="s">
        <x:v>56</x:v>
      </x:c>
      <x:c r="C108" s="39" t="s">
        <x:v>181</x:v>
      </x:c>
      <x:c r="D108" s="39" t="s">
        <x:v>182</x:v>
      </x:c>
      <x:c r="E108" s="39" t="s">
        <x:v>19</x:v>
      </x:c>
      <x:c r="F108" s="39" t="s">
        <x:v>59</x:v>
      </x:c>
      <x:c r="G108" s="39" t="s">
        <x:v>21</x:v>
      </x:c>
      <x:c r="H108" s="39" t="s">
        <x:v>111</x:v>
      </x:c>
      <x:c r="I108" s="44">
        <x:v>868.37</x:v>
      </x:c>
      <x:c r="J108" s="44">
        <x:v>138.94</x:v>
      </x:c>
      <x:c r="K108" s="39" t="s">
        <x:v>23</x:v>
      </x:c>
      <x:c r="L108" s="44">
        <x:v>125.04600000000001</x:v>
      </x:c>
      <x:c r="M108" s="44">
        <x:v>2.5009200000000003</x:v>
      </x:c>
      <x:c r="N108" s="44">
        <x:v>122.54508000000001</x:v>
      </x:c>
    </x:row>
    <x:row r="109">
      <x:c r="A109" s="39" t="s">
        <x:v>55</x:v>
      </x:c>
      <x:c r="B109" s="39" t="s">
        <x:v>56</x:v>
      </x:c>
      <x:c r="C109" s="39" t="s">
        <x:v>183</x:v>
      </x:c>
      <x:c r="D109" s="39" t="s">
        <x:v>184</x:v>
      </x:c>
      <x:c r="E109" s="39" t="s">
        <x:v>19</x:v>
      </x:c>
      <x:c r="F109" s="39" t="s">
        <x:v>20</x:v>
      </x:c>
      <x:c r="G109" s="39" t="s">
        <x:v>21</x:v>
      </x:c>
      <x:c r="H109" s="39" t="s">
        <x:v>111</x:v>
      </x:c>
      <x:c r="I109" s="44">
        <x:v>2843.65</x:v>
      </x:c>
      <x:c r="J109" s="44">
        <x:v>454.97</x:v>
      </x:c>
      <x:c r="K109" s="39" t="s">
        <x:v>23</x:v>
      </x:c>
      <x:c r="L109" s="44">
        <x:v>409.47300000000001</x:v>
      </x:c>
      <x:c r="M109" s="44">
        <x:v>8.1894600000000004</x:v>
      </x:c>
      <x:c r="N109" s="44">
        <x:v>401.28354000000002</x:v>
      </x:c>
    </x:row>
    <x:row r="110">
      <x:c r="A110" s="39" t="s">
        <x:v>55</x:v>
      </x:c>
      <x:c r="B110" s="39" t="s">
        <x:v>56</x:v>
      </x:c>
      <x:c r="C110" s="39" t="s">
        <x:v>185</x:v>
      </x:c>
      <x:c r="D110" s="39" t="s">
        <x:v>186</x:v>
      </x:c>
      <x:c r="E110" s="39" t="s">
        <x:v>19</x:v>
      </x:c>
      <x:c r="F110" s="39" t="s">
        <x:v>20</x:v>
      </x:c>
      <x:c r="G110" s="39" t="s">
        <x:v>21</x:v>
      </x:c>
      <x:c r="H110" s="39" t="s">
        <x:v>111</x:v>
      </x:c>
      <x:c r="I110" s="44">
        <x:v>1652.7</x:v>
      </x:c>
      <x:c r="J110" s="44">
        <x:v>264.43</x:v>
      </x:c>
      <x:c r="K110" s="39" t="s">
        <x:v>23</x:v>
      </x:c>
      <x:c r="L110" s="44">
        <x:v>237.98700000000002</x:v>
      </x:c>
      <x:c r="M110" s="44">
        <x:v>4.7597400000000007</x:v>
      </x:c>
      <x:c r="N110" s="44">
        <x:v>233.22726000000003</x:v>
      </x:c>
    </x:row>
    <x:row r="111">
      <x:c r="A111" s="39" t="s">
        <x:v>55</x:v>
      </x:c>
      <x:c r="B111" s="39" t="s">
        <x:v>56</x:v>
      </x:c>
      <x:c r="C111" s="39" t="s">
        <x:v>187</x:v>
      </x:c>
      <x:c r="D111" s="39" t="s">
        <x:v>188</x:v>
      </x:c>
      <x:c r="E111" s="39" t="s">
        <x:v>19</x:v>
      </x:c>
      <x:c r="F111" s="39" t="s">
        <x:v>59</x:v>
      </x:c>
      <x:c r="G111" s="39" t="s">
        <x:v>21</x:v>
      </x:c>
      <x:c r="H111" s="39" t="s">
        <x:v>111</x:v>
      </x:c>
      <x:c r="I111" s="44">
        <x:v>340.76</x:v>
      </x:c>
      <x:c r="J111" s="44">
        <x:v>54.52</x:v>
      </x:c>
      <x:c r="K111" s="39" t="s">
        <x:v>23</x:v>
      </x:c>
      <x:c r="L111" s="44">
        <x:v>49.068000000000005</x:v>
      </x:c>
      <x:c r="M111" s="44">
        <x:v>0.98136000000000012</x:v>
      </x:c>
      <x:c r="N111" s="44">
        <x:v>48.086640000000003</x:v>
      </x:c>
    </x:row>
    <x:row r="112">
      <x:c r="A112" s="39" t="s">
        <x:v>55</x:v>
      </x:c>
      <x:c r="B112" s="39" t="s">
        <x:v>56</x:v>
      </x:c>
      <x:c r="C112" s="39" t="s">
        <x:v>189</x:v>
      </x:c>
      <x:c r="D112" s="39" t="s">
        <x:v>190</x:v>
      </x:c>
      <x:c r="E112" s="39" t="s">
        <x:v>19</x:v>
      </x:c>
      <x:c r="F112" s="39" t="s">
        <x:v>20</x:v>
      </x:c>
      <x:c r="G112" s="39" t="s">
        <x:v>21</x:v>
      </x:c>
      <x:c r="H112" s="39" t="s">
        <x:v>111</x:v>
      </x:c>
      <x:c r="I112" s="44">
        <x:v>423.9</x:v>
      </x:c>
      <x:c r="J112" s="44">
        <x:v>67.819999999999993</x:v>
      </x:c>
      <x:c r="K112" s="39" t="s">
        <x:v>23</x:v>
      </x:c>
      <x:c r="L112" s="44">
        <x:v>61.037999999999997</x:v>
      </x:c>
      <x:c r="M112" s="44">
        <x:v>1.2207600000000001</x:v>
      </x:c>
      <x:c r="N112" s="44">
        <x:v>59.817239999999998</x:v>
      </x:c>
    </x:row>
    <x:row r="113">
      <x:c r="A113" s="39" t="s">
        <x:v>55</x:v>
      </x:c>
      <x:c r="B113" s="39" t="s">
        <x:v>56</x:v>
      </x:c>
      <x:c r="C113" s="39" t="s">
        <x:v>189</x:v>
      </x:c>
      <x:c r="D113" s="39" t="s">
        <x:v>190</x:v>
      </x:c>
      <x:c r="E113" s="39" t="s">
        <x:v>19</x:v>
      </x:c>
      <x:c r="F113" s="39" t="s">
        <x:v>20</x:v>
      </x:c>
      <x:c r="G113" s="39" t="s">
        <x:v>21</x:v>
      </x:c>
      <x:c r="H113" s="39" t="s">
        <x:v>111</x:v>
      </x:c>
      <x:c r="I113" s="44">
        <x:v>7.97</x:v>
      </x:c>
      <x:c r="J113" s="44">
        <x:v>1.27</x:v>
      </x:c>
      <x:c r="K113" s="39" t="s">
        <x:v>23</x:v>
      </x:c>
      <x:c r="L113" s="44">
        <x:v>1.143</x:v>
      </x:c>
      <x:c r="M113" s="44">
        <x:v>2.2860000000000002E-2</x:v>
      </x:c>
      <x:c r="N113" s="44">
        <x:v>1.1201399999999999</x:v>
      </x:c>
    </x:row>
    <x:row r="114">
      <x:c r="A114" s="39" t="s">
        <x:v>55</x:v>
      </x:c>
      <x:c r="B114" s="39" t="s">
        <x:v>56</x:v>
      </x:c>
      <x:c r="C114" s="39" t="s">
        <x:v>191</x:v>
      </x:c>
      <x:c r="D114" s="39" t="s">
        <x:v>192</x:v>
      </x:c>
      <x:c r="E114" s="39" t="s">
        <x:v>19</x:v>
      </x:c>
      <x:c r="F114" s="39" t="s">
        <x:v>20</x:v>
      </x:c>
      <x:c r="G114" s="39" t="s">
        <x:v>21</x:v>
      </x:c>
      <x:c r="H114" s="39" t="s">
        <x:v>111</x:v>
      </x:c>
      <x:c r="I114" s="44">
        <x:v>96.35</x:v>
      </x:c>
      <x:c r="J114" s="44">
        <x:v>9.6300000000000008</x:v>
      </x:c>
      <x:c r="K114" s="39" t="s">
        <x:v>23</x:v>
      </x:c>
      <x:c r="L114" s="44">
        <x:v>8.6670000000000016</x:v>
      </x:c>
      <x:c r="M114" s="44">
        <x:v>0.17334000000000002</x:v>
      </x:c>
      <x:c r="N114" s="44">
        <x:v>8.493660000000002</x:v>
      </x:c>
    </x:row>
    <x:row r="115">
      <x:c r="A115" s="39" t="s">
        <x:v>55</x:v>
      </x:c>
      <x:c r="B115" s="39" t="s">
        <x:v>56</x:v>
      </x:c>
      <x:c r="C115" s="39" t="s">
        <x:v>193</x:v>
      </x:c>
      <x:c r="D115" s="39" t="s">
        <x:v>194</x:v>
      </x:c>
      <x:c r="E115" s="39" t="s">
        <x:v>19</x:v>
      </x:c>
      <x:c r="F115" s="39" t="s">
        <x:v>20</x:v>
      </x:c>
      <x:c r="G115" s="39" t="s">
        <x:v>21</x:v>
      </x:c>
      <x:c r="H115" s="39" t="s">
        <x:v>111</x:v>
      </x:c>
      <x:c r="I115" s="44">
        <x:v>87.59</x:v>
      </x:c>
      <x:c r="J115" s="44">
        <x:v>8.76</x:v>
      </x:c>
      <x:c r="K115" s="39" t="s">
        <x:v>23</x:v>
      </x:c>
      <x:c r="L115" s="44">
        <x:v>7.8840000000000003</x:v>
      </x:c>
      <x:c r="M115" s="44">
        <x:v>0.15768000000000001</x:v>
      </x:c>
      <x:c r="N115" s="44">
        <x:v>7.7263200000000003</x:v>
      </x:c>
    </x:row>
    <x:row r="116">
      <x:c r="A116" s="39" t="s">
        <x:v>55</x:v>
      </x:c>
      <x:c r="B116" s="39" t="s">
        <x:v>56</x:v>
      </x:c>
      <x:c r="C116" s="39" t="s">
        <x:v>195</x:v>
      </x:c>
      <x:c r="D116" s="39" t="s">
        <x:v>196</x:v>
      </x:c>
      <x:c r="E116" s="39" t="s">
        <x:v>19</x:v>
      </x:c>
      <x:c r="F116" s="39" t="s">
        <x:v>20</x:v>
      </x:c>
      <x:c r="G116" s="39" t="s">
        <x:v>21</x:v>
      </x:c>
      <x:c r="H116" s="39" t="s">
        <x:v>111</x:v>
      </x:c>
      <x:c r="I116" s="44">
        <x:v>140.13999999999999</x:v>
      </x:c>
      <x:c r="J116" s="44">
        <x:v>14.01</x:v>
      </x:c>
      <x:c r="K116" s="39" t="s">
        <x:v>23</x:v>
      </x:c>
      <x:c r="L116" s="44">
        <x:v>12.609</x:v>
      </x:c>
      <x:c r="M116" s="44">
        <x:v>0.25218000000000002</x:v>
      </x:c>
      <x:c r="N116" s="44">
        <x:v>12.356820000000001</x:v>
      </x:c>
    </x:row>
    <x:row r="117">
      <x:c r="A117" s="39" t="s">
        <x:v>55</x:v>
      </x:c>
      <x:c r="B117" s="39" t="s">
        <x:v>56</x:v>
      </x:c>
      <x:c r="C117" s="39" t="s">
        <x:v>197</x:v>
      </x:c>
      <x:c r="D117" s="39" t="s">
        <x:v>198</x:v>
      </x:c>
      <x:c r="E117" s="39" t="s">
        <x:v>19</x:v>
      </x:c>
      <x:c r="F117" s="39" t="s">
        <x:v>20</x:v>
      </x:c>
      <x:c r="G117" s="39" t="s">
        <x:v>21</x:v>
      </x:c>
      <x:c r="H117" s="39" t="s">
        <x:v>111</x:v>
      </x:c>
      <x:c r="I117" s="44">
        <x:v>87.59</x:v>
      </x:c>
      <x:c r="J117" s="44">
        <x:v>8.76</x:v>
      </x:c>
      <x:c r="K117" s="39" t="s">
        <x:v>23</x:v>
      </x:c>
      <x:c r="L117" s="44">
        <x:v>7.8840000000000003</x:v>
      </x:c>
      <x:c r="M117" s="44">
        <x:v>0.15768000000000001</x:v>
      </x:c>
      <x:c r="N117" s="44">
        <x:v>7.7263200000000003</x:v>
      </x:c>
    </x:row>
    <x:row r="118">
      <x:c r="A118" s="39" t="s">
        <x:v>55</x:v>
      </x:c>
      <x:c r="B118" s="39" t="s">
        <x:v>56</x:v>
      </x:c>
      <x:c r="C118" s="39" t="s">
        <x:v>199</x:v>
      </x:c>
      <x:c r="D118" s="39" t="s">
        <x:v>200</x:v>
      </x:c>
      <x:c r="E118" s="39" t="s">
        <x:v>19</x:v>
      </x:c>
      <x:c r="F118" s="39" t="s">
        <x:v>20</x:v>
      </x:c>
      <x:c r="G118" s="39" t="s">
        <x:v>21</x:v>
      </x:c>
      <x:c r="H118" s="39" t="s">
        <x:v>111</x:v>
      </x:c>
      <x:c r="I118" s="44">
        <x:v>154.61000000000001</x:v>
      </x:c>
      <x:c r="J118" s="44">
        <x:v>15.46</x:v>
      </x:c>
      <x:c r="K118" s="39" t="s">
        <x:v>23</x:v>
      </x:c>
      <x:c r="L118" s="44">
        <x:v>13.914000000000001</x:v>
      </x:c>
      <x:c r="M118" s="44">
        <x:v>0.27828000000000003</x:v>
      </x:c>
      <x:c r="N118" s="44">
        <x:v>13.635720000000001</x:v>
      </x:c>
    </x:row>
    <x:row r="119">
      <x:c r="A119" s="39" t="s">
        <x:v>55</x:v>
      </x:c>
      <x:c r="B119" s="39" t="s">
        <x:v>56</x:v>
      </x:c>
      <x:c r="C119" s="39" t="s">
        <x:v>201</x:v>
      </x:c>
      <x:c r="D119" s="39" t="s">
        <x:v>202</x:v>
      </x:c>
      <x:c r="E119" s="39" t="s">
        <x:v>19</x:v>
      </x:c>
      <x:c r="F119" s="39" t="s">
        <x:v>20</x:v>
      </x:c>
      <x:c r="G119" s="39" t="s">
        <x:v>21</x:v>
      </x:c>
      <x:c r="H119" s="39" t="s">
        <x:v>111</x:v>
      </x:c>
      <x:c r="I119" s="44">
        <x:v>175.17</x:v>
      </x:c>
      <x:c r="J119" s="44">
        <x:v>17.52</x:v>
      </x:c>
      <x:c r="K119" s="39" t="s">
        <x:v>23</x:v>
      </x:c>
      <x:c r="L119" s="44">
        <x:v>15.768000000000001</x:v>
      </x:c>
      <x:c r="M119" s="44">
        <x:v>0.31536000000000003</x:v>
      </x:c>
      <x:c r="N119" s="44">
        <x:v>15.452640000000001</x:v>
      </x:c>
    </x:row>
    <x:row r="120">
      <x:c r="A120" s="39" t="s">
        <x:v>55</x:v>
      </x:c>
      <x:c r="B120" s="39" t="s">
        <x:v>56</x:v>
      </x:c>
      <x:c r="C120" s="39" t="s">
        <x:v>203</x:v>
      </x:c>
      <x:c r="D120" s="39" t="s">
        <x:v>204</x:v>
      </x:c>
      <x:c r="E120" s="39" t="s">
        <x:v>19</x:v>
      </x:c>
      <x:c r="F120" s="39" t="s">
        <x:v>20</x:v>
      </x:c>
      <x:c r="G120" s="39" t="s">
        <x:v>21</x:v>
      </x:c>
      <x:c r="H120" s="39" t="s">
        <x:v>111</x:v>
      </x:c>
      <x:c r="I120" s="44">
        <x:v>153.28</x:v>
      </x:c>
      <x:c r="J120" s="44">
        <x:v>15.33</x:v>
      </x:c>
      <x:c r="K120" s="39" t="s">
        <x:v>23</x:v>
      </x:c>
      <x:c r="L120" s="44">
        <x:v>13.797000000000001</x:v>
      </x:c>
      <x:c r="M120" s="44">
        <x:v>0.27594000000000002</x:v>
      </x:c>
      <x:c r="N120" s="44">
        <x:v>13.52106</x:v>
      </x:c>
    </x:row>
    <x:row r="121">
      <x:c r="A121" s="39" t="s">
        <x:v>55</x:v>
      </x:c>
      <x:c r="B121" s="39" t="s">
        <x:v>56</x:v>
      </x:c>
      <x:c r="C121" s="39" t="s">
        <x:v>205</x:v>
      </x:c>
      <x:c r="D121" s="39" t="s">
        <x:v>206</x:v>
      </x:c>
      <x:c r="E121" s="39" t="s">
        <x:v>19</x:v>
      </x:c>
      <x:c r="F121" s="39" t="s">
        <x:v>20</x:v>
      </x:c>
      <x:c r="G121" s="39" t="s">
        <x:v>21</x:v>
      </x:c>
      <x:c r="H121" s="39" t="s">
        <x:v>111</x:v>
      </x:c>
      <x:c r="I121" s="44">
        <x:v>87.59</x:v>
      </x:c>
      <x:c r="J121" s="44">
        <x:v>8.76</x:v>
      </x:c>
      <x:c r="K121" s="39" t="s">
        <x:v>23</x:v>
      </x:c>
      <x:c r="L121" s="44">
        <x:v>7.8840000000000003</x:v>
      </x:c>
      <x:c r="M121" s="44">
        <x:v>0.15768000000000001</x:v>
      </x:c>
      <x:c r="N121" s="44">
        <x:v>7.7263200000000003</x:v>
      </x:c>
    </x:row>
    <x:row r="122">
      <x:c r="A122" s="39" t="s">
        <x:v>55</x:v>
      </x:c>
      <x:c r="B122" s="39" t="s">
        <x:v>56</x:v>
      </x:c>
      <x:c r="C122" s="39" t="s">
        <x:v>207</x:v>
      </x:c>
      <x:c r="D122" s="39" t="s">
        <x:v>208</x:v>
      </x:c>
      <x:c r="E122" s="39" t="s">
        <x:v>19</x:v>
      </x:c>
      <x:c r="F122" s="39" t="s">
        <x:v>20</x:v>
      </x:c>
      <x:c r="G122" s="39" t="s">
        <x:v>21</x:v>
      </x:c>
      <x:c r="H122" s="39" t="s">
        <x:v>111</x:v>
      </x:c>
      <x:c r="I122" s="44">
        <x:v>87.59</x:v>
      </x:c>
      <x:c r="J122" s="44">
        <x:v>8.76</x:v>
      </x:c>
      <x:c r="K122" s="39" t="s">
        <x:v>23</x:v>
      </x:c>
      <x:c r="L122" s="44">
        <x:v>7.8840000000000003</x:v>
      </x:c>
      <x:c r="M122" s="44">
        <x:v>0.15768000000000001</x:v>
      </x:c>
      <x:c r="N122" s="44">
        <x:v>7.7263200000000003</x:v>
      </x:c>
    </x:row>
    <x:row r="123">
      <x:c r="A123" s="39" t="s">
        <x:v>55</x:v>
      </x:c>
      <x:c r="B123" s="39" t="s">
        <x:v>56</x:v>
      </x:c>
      <x:c r="C123" s="39" t="s">
        <x:v>209</x:v>
      </x:c>
      <x:c r="D123" s="39" t="s">
        <x:v>210</x:v>
      </x:c>
      <x:c r="E123" s="39" t="s">
        <x:v>19</x:v>
      </x:c>
      <x:c r="F123" s="39" t="s">
        <x:v>20</x:v>
      </x:c>
      <x:c r="G123" s="39" t="s">
        <x:v>21</x:v>
      </x:c>
      <x:c r="H123" s="39" t="s">
        <x:v>111</x:v>
      </x:c>
      <x:c r="I123" s="44">
        <x:v>189.65</x:v>
      </x:c>
      <x:c r="J123" s="44">
        <x:v>18.96</x:v>
      </x:c>
      <x:c r="K123" s="39" t="s">
        <x:v>23</x:v>
      </x:c>
      <x:c r="L123" s="44">
        <x:v>17.064</x:v>
      </x:c>
      <x:c r="M123" s="44">
        <x:v>0.34128000000000003</x:v>
      </x:c>
      <x:c r="N123" s="44">
        <x:v>16.722719999999999</x:v>
      </x:c>
    </x:row>
    <x:row r="124">
      <x:c r="A124" s="39" t="s">
        <x:v>55</x:v>
      </x:c>
      <x:c r="B124" s="39" t="s">
        <x:v>56</x:v>
      </x:c>
      <x:c r="C124" s="39" t="s">
        <x:v>211</x:v>
      </x:c>
      <x:c r="D124" s="39" t="s">
        <x:v>212</x:v>
      </x:c>
      <x:c r="E124" s="39" t="s">
        <x:v>19</x:v>
      </x:c>
      <x:c r="F124" s="39" t="s">
        <x:v>20</x:v>
      </x:c>
      <x:c r="G124" s="39" t="s">
        <x:v>21</x:v>
      </x:c>
      <x:c r="H124" s="39" t="s">
        <x:v>111</x:v>
      </x:c>
      <x:c r="I124" s="44">
        <x:v>87.59</x:v>
      </x:c>
      <x:c r="J124" s="44">
        <x:v>8.76</x:v>
      </x:c>
      <x:c r="K124" s="39" t="s">
        <x:v>23</x:v>
      </x:c>
      <x:c r="L124" s="44">
        <x:v>7.8840000000000003</x:v>
      </x:c>
      <x:c r="M124" s="44">
        <x:v>0.15768000000000001</x:v>
      </x:c>
      <x:c r="N124" s="44">
        <x:v>7.7263200000000003</x:v>
      </x:c>
    </x:row>
    <x:row r="125">
      <x:c r="A125" s="39" t="s">
        <x:v>55</x:v>
      </x:c>
      <x:c r="B125" s="39" t="s">
        <x:v>56</x:v>
      </x:c>
      <x:c r="C125" s="39" t="s">
        <x:v>213</x:v>
      </x:c>
      <x:c r="D125" s="39" t="s">
        <x:v>214</x:v>
      </x:c>
      <x:c r="E125" s="39" t="s">
        <x:v>19</x:v>
      </x:c>
      <x:c r="F125" s="39" t="s">
        <x:v>20</x:v>
      </x:c>
      <x:c r="G125" s="39" t="s">
        <x:v>21</x:v>
      </x:c>
      <x:c r="H125" s="39" t="s">
        <x:v>111</x:v>
      </x:c>
      <x:c r="I125" s="44">
        <x:v>87.59</x:v>
      </x:c>
      <x:c r="J125" s="44">
        <x:v>8.76</x:v>
      </x:c>
      <x:c r="K125" s="39" t="s">
        <x:v>23</x:v>
      </x:c>
      <x:c r="L125" s="44">
        <x:v>7.8840000000000003</x:v>
      </x:c>
      <x:c r="M125" s="44">
        <x:v>0.15768000000000001</x:v>
      </x:c>
      <x:c r="N125" s="44">
        <x:v>7.7263200000000003</x:v>
      </x:c>
    </x:row>
    <x:row r="126">
      <x:c r="A126" s="39" t="s">
        <x:v>55</x:v>
      </x:c>
      <x:c r="B126" s="39" t="s">
        <x:v>56</x:v>
      </x:c>
      <x:c r="C126" s="39" t="s">
        <x:v>215</x:v>
      </x:c>
      <x:c r="D126" s="39" t="s">
        <x:v>216</x:v>
      </x:c>
      <x:c r="E126" s="39" t="s">
        <x:v>19</x:v>
      </x:c>
      <x:c r="F126" s="39" t="s">
        <x:v>20</x:v>
      </x:c>
      <x:c r="G126" s="39" t="s">
        <x:v>21</x:v>
      </x:c>
      <x:c r="H126" s="39" t="s">
        <x:v>111</x:v>
      </x:c>
      <x:c r="I126" s="44">
        <x:v>87.59</x:v>
      </x:c>
      <x:c r="J126" s="44">
        <x:v>8.76</x:v>
      </x:c>
      <x:c r="K126" s="39" t="s">
        <x:v>23</x:v>
      </x:c>
      <x:c r="L126" s="44">
        <x:v>7.8840000000000003</x:v>
      </x:c>
      <x:c r="M126" s="44">
        <x:v>0.15768000000000001</x:v>
      </x:c>
      <x:c r="N126" s="44">
        <x:v>7.7263200000000003</x:v>
      </x:c>
    </x:row>
    <x:row r="127">
      <x:c r="A127" s="39" t="s">
        <x:v>55</x:v>
      </x:c>
      <x:c r="B127" s="39" t="s">
        <x:v>56</x:v>
      </x:c>
      <x:c r="C127" s="39" t="s">
        <x:v>217</x:v>
      </x:c>
      <x:c r="D127" s="39" t="s">
        <x:v>218</x:v>
      </x:c>
      <x:c r="E127" s="39" t="s">
        <x:v>19</x:v>
      </x:c>
      <x:c r="F127" s="39" t="s">
        <x:v>20</x:v>
      </x:c>
      <x:c r="G127" s="39" t="s">
        <x:v>21</x:v>
      </x:c>
      <x:c r="H127" s="39" t="s">
        <x:v>111</x:v>
      </x:c>
      <x:c r="I127" s="44">
        <x:v>118.24</x:v>
      </x:c>
      <x:c r="J127" s="44">
        <x:v>11.82</x:v>
      </x:c>
      <x:c r="K127" s="39" t="s">
        <x:v>23</x:v>
      </x:c>
      <x:c r="L127" s="44">
        <x:v>10.638</x:v>
      </x:c>
      <x:c r="M127" s="44">
        <x:v>0.21276</x:v>
      </x:c>
      <x:c r="N127" s="44">
        <x:v>10.425240000000001</x:v>
      </x:c>
    </x:row>
    <x:row r="128">
      <x:c r="A128" s="39" t="s">
        <x:v>55</x:v>
      </x:c>
      <x:c r="B128" s="39" t="s">
        <x:v>56</x:v>
      </x:c>
      <x:c r="C128" s="39" t="s">
        <x:v>219</x:v>
      </x:c>
      <x:c r="D128" s="39" t="s">
        <x:v>220</x:v>
      </x:c>
      <x:c r="E128" s="39" t="s">
        <x:v>19</x:v>
      </x:c>
      <x:c r="F128" s="39" t="s">
        <x:v>20</x:v>
      </x:c>
      <x:c r="G128" s="39" t="s">
        <x:v>21</x:v>
      </x:c>
      <x:c r="H128" s="39" t="s">
        <x:v>111</x:v>
      </x:c>
      <x:c r="I128" s="44">
        <x:v>87.59</x:v>
      </x:c>
      <x:c r="J128" s="44">
        <x:v>8.76</x:v>
      </x:c>
      <x:c r="K128" s="39" t="s">
        <x:v>23</x:v>
      </x:c>
      <x:c r="L128" s="44">
        <x:v>7.8840000000000003</x:v>
      </x:c>
      <x:c r="M128" s="44">
        <x:v>0.15768000000000001</x:v>
      </x:c>
      <x:c r="N128" s="44">
        <x:v>7.7263200000000003</x:v>
      </x:c>
    </x:row>
    <x:row r="129">
      <x:c r="A129" s="39" t="s">
        <x:v>55</x:v>
      </x:c>
      <x:c r="B129" s="39" t="s">
        <x:v>56</x:v>
      </x:c>
      <x:c r="C129" s="39" t="s">
        <x:v>221</x:v>
      </x:c>
      <x:c r="D129" s="39" t="s">
        <x:v>222</x:v>
      </x:c>
      <x:c r="E129" s="39" t="s">
        <x:v>19</x:v>
      </x:c>
      <x:c r="F129" s="39" t="s">
        <x:v>20</x:v>
      </x:c>
      <x:c r="G129" s="39" t="s">
        <x:v>21</x:v>
      </x:c>
      <x:c r="H129" s="39" t="s">
        <x:v>111</x:v>
      </x:c>
      <x:c r="I129" s="44">
        <x:v>87.59</x:v>
      </x:c>
      <x:c r="J129" s="44">
        <x:v>8.76</x:v>
      </x:c>
      <x:c r="K129" s="39" t="s">
        <x:v>23</x:v>
      </x:c>
      <x:c r="L129" s="44">
        <x:v>7.8840000000000003</x:v>
      </x:c>
      <x:c r="M129" s="44">
        <x:v>0.15768000000000001</x:v>
      </x:c>
      <x:c r="N129" s="44">
        <x:v>7.7263200000000003</x:v>
      </x:c>
    </x:row>
    <x:row r="130">
      <x:c r="A130" s="39" t="s">
        <x:v>55</x:v>
      </x:c>
      <x:c r="B130" s="39" t="s">
        <x:v>56</x:v>
      </x:c>
      <x:c r="C130" s="39" t="s">
        <x:v>223</x:v>
      </x:c>
      <x:c r="D130" s="39" t="s">
        <x:v>224</x:v>
      </x:c>
      <x:c r="E130" s="39" t="s">
        <x:v>19</x:v>
      </x:c>
      <x:c r="F130" s="39" t="s">
        <x:v>20</x:v>
      </x:c>
      <x:c r="G130" s="39" t="s">
        <x:v>21</x:v>
      </x:c>
      <x:c r="H130" s="39" t="s">
        <x:v>111</x:v>
      </x:c>
      <x:c r="I130" s="44">
        <x:v>87.59</x:v>
      </x:c>
      <x:c r="J130" s="44">
        <x:v>8.76</x:v>
      </x:c>
      <x:c r="K130" s="39" t="s">
        <x:v>23</x:v>
      </x:c>
      <x:c r="L130" s="44">
        <x:v>7.8840000000000003</x:v>
      </x:c>
      <x:c r="M130" s="44">
        <x:v>0.15768000000000001</x:v>
      </x:c>
      <x:c r="N130" s="44">
        <x:v>7.7263200000000003</x:v>
      </x:c>
    </x:row>
    <x:row r="131">
      <x:c r="A131" s="39" t="s">
        <x:v>55</x:v>
      </x:c>
      <x:c r="B131" s="39" t="s">
        <x:v>56</x:v>
      </x:c>
      <x:c r="C131" s="39" t="s">
        <x:v>225</x:v>
      </x:c>
      <x:c r="D131" s="39" t="s">
        <x:v>226</x:v>
      </x:c>
      <x:c r="E131" s="39" t="s">
        <x:v>19</x:v>
      </x:c>
      <x:c r="F131" s="39" t="s">
        <x:v>20</x:v>
      </x:c>
      <x:c r="G131" s="39" t="s">
        <x:v>21</x:v>
      </x:c>
      <x:c r="H131" s="39" t="s">
        <x:v>111</x:v>
      </x:c>
      <x:c r="I131" s="44">
        <x:v>87.59</x:v>
      </x:c>
      <x:c r="J131" s="44">
        <x:v>8.76</x:v>
      </x:c>
      <x:c r="K131" s="39" t="s">
        <x:v>23</x:v>
      </x:c>
      <x:c r="L131" s="44">
        <x:v>7.8840000000000003</x:v>
      </x:c>
      <x:c r="M131" s="44">
        <x:v>0.15768000000000001</x:v>
      </x:c>
      <x:c r="N131" s="44">
        <x:v>7.7263200000000003</x:v>
      </x:c>
    </x:row>
    <x:row r="132">
      <x:c r="A132" s="39" t="s">
        <x:v>55</x:v>
      </x:c>
      <x:c r="B132" s="39" t="s">
        <x:v>56</x:v>
      </x:c>
      <x:c r="C132" s="39" t="s">
        <x:v>227</x:v>
      </x:c>
      <x:c r="D132" s="39" t="s">
        <x:v>228</x:v>
      </x:c>
      <x:c r="E132" s="39" t="s">
        <x:v>19</x:v>
      </x:c>
      <x:c r="F132" s="39" t="s">
        <x:v>20</x:v>
      </x:c>
      <x:c r="G132" s="39" t="s">
        <x:v>21</x:v>
      </x:c>
      <x:c r="H132" s="39" t="s">
        <x:v>111</x:v>
      </x:c>
      <x:c r="I132" s="44">
        <x:v>87.59</x:v>
      </x:c>
      <x:c r="J132" s="44">
        <x:v>8.76</x:v>
      </x:c>
      <x:c r="K132" s="39" t="s">
        <x:v>23</x:v>
      </x:c>
      <x:c r="L132" s="44">
        <x:v>7.8840000000000003</x:v>
      </x:c>
      <x:c r="M132" s="44">
        <x:v>0.15768000000000001</x:v>
      </x:c>
      <x:c r="N132" s="44">
        <x:v>7.7263200000000003</x:v>
      </x:c>
    </x:row>
    <x:row r="133">
      <x:c r="A133" s="39" t="s">
        <x:v>55</x:v>
      </x:c>
      <x:c r="B133" s="39" t="s">
        <x:v>56</x:v>
      </x:c>
      <x:c r="C133" s="39" t="s">
        <x:v>229</x:v>
      </x:c>
      <x:c r="D133" s="39" t="s">
        <x:v>230</x:v>
      </x:c>
      <x:c r="E133" s="39" t="s">
        <x:v>19</x:v>
      </x:c>
      <x:c r="F133" s="39" t="s">
        <x:v>20</x:v>
      </x:c>
      <x:c r="G133" s="39" t="s">
        <x:v>21</x:v>
      </x:c>
      <x:c r="H133" s="39" t="s">
        <x:v>111</x:v>
      </x:c>
      <x:c r="I133" s="44">
        <x:v>87.59</x:v>
      </x:c>
      <x:c r="J133" s="44">
        <x:v>8.76</x:v>
      </x:c>
      <x:c r="K133" s="39" t="s">
        <x:v>23</x:v>
      </x:c>
      <x:c r="L133" s="44">
        <x:v>7.8840000000000003</x:v>
      </x:c>
      <x:c r="M133" s="44">
        <x:v>0.15768000000000001</x:v>
      </x:c>
      <x:c r="N133" s="44">
        <x:v>7.7263200000000003</x:v>
      </x:c>
    </x:row>
    <x:row r="134">
      <x:c r="A134" s="39" t="s">
        <x:v>55</x:v>
      </x:c>
      <x:c r="B134" s="39" t="s">
        <x:v>56</x:v>
      </x:c>
      <x:c r="C134" s="39" t="s">
        <x:v>231</x:v>
      </x:c>
      <x:c r="D134" s="39" t="s">
        <x:v>232</x:v>
      </x:c>
      <x:c r="E134" s="39" t="s">
        <x:v>19</x:v>
      </x:c>
      <x:c r="F134" s="39" t="s">
        <x:v>20</x:v>
      </x:c>
      <x:c r="G134" s="39" t="s">
        <x:v>21</x:v>
      </x:c>
      <x:c r="H134" s="39" t="s">
        <x:v>111</x:v>
      </x:c>
      <x:c r="I134" s="44">
        <x:v>87.59</x:v>
      </x:c>
      <x:c r="J134" s="44">
        <x:v>8.76</x:v>
      </x:c>
      <x:c r="K134" s="39" t="s">
        <x:v>23</x:v>
      </x:c>
      <x:c r="L134" s="44">
        <x:v>7.8840000000000003</x:v>
      </x:c>
      <x:c r="M134" s="44">
        <x:v>0.15768000000000001</x:v>
      </x:c>
      <x:c r="N134" s="44">
        <x:v>7.7263200000000003</x:v>
      </x:c>
    </x:row>
    <x:row r="135">
      <x:c r="A135" s="39" t="s">
        <x:v>55</x:v>
      </x:c>
      <x:c r="B135" s="39" t="s">
        <x:v>56</x:v>
      </x:c>
      <x:c r="C135" s="39" t="s">
        <x:v>233</x:v>
      </x:c>
      <x:c r="D135" s="39" t="s">
        <x:v>234</x:v>
      </x:c>
      <x:c r="E135" s="39" t="s">
        <x:v>19</x:v>
      </x:c>
      <x:c r="F135" s="39" t="s">
        <x:v>20</x:v>
      </x:c>
      <x:c r="G135" s="39" t="s">
        <x:v>21</x:v>
      </x:c>
      <x:c r="H135" s="39" t="s">
        <x:v>111</x:v>
      </x:c>
      <x:c r="I135" s="44">
        <x:v>87.59</x:v>
      </x:c>
      <x:c r="J135" s="44">
        <x:v>8.76</x:v>
      </x:c>
      <x:c r="K135" s="39" t="s">
        <x:v>23</x:v>
      </x:c>
      <x:c r="L135" s="44">
        <x:v>7.8840000000000003</x:v>
      </x:c>
      <x:c r="M135" s="44">
        <x:v>0.15768000000000001</x:v>
      </x:c>
      <x:c r="N135" s="44">
        <x:v>7.7263200000000003</x:v>
      </x:c>
    </x:row>
    <x:row r="136">
      <x:c r="A136" s="39" t="s">
        <x:v>55</x:v>
      </x:c>
      <x:c r="B136" s="39" t="s">
        <x:v>56</x:v>
      </x:c>
      <x:c r="C136" s="39" t="s">
        <x:v>235</x:v>
      </x:c>
      <x:c r="D136" s="39" t="s">
        <x:v>236</x:v>
      </x:c>
      <x:c r="E136" s="39" t="s">
        <x:v>19</x:v>
      </x:c>
      <x:c r="F136" s="39" t="s">
        <x:v>20</x:v>
      </x:c>
      <x:c r="G136" s="39" t="s">
        <x:v>21</x:v>
      </x:c>
      <x:c r="H136" s="39" t="s">
        <x:v>111</x:v>
      </x:c>
      <x:c r="I136" s="44">
        <x:v>87.59</x:v>
      </x:c>
      <x:c r="J136" s="44">
        <x:v>8.76</x:v>
      </x:c>
      <x:c r="K136" s="39" t="s">
        <x:v>23</x:v>
      </x:c>
      <x:c r="L136" s="44">
        <x:v>7.8840000000000003</x:v>
      </x:c>
      <x:c r="M136" s="44">
        <x:v>0.15768000000000001</x:v>
      </x:c>
      <x:c r="N136" s="44">
        <x:v>7.7263200000000003</x:v>
      </x:c>
    </x:row>
    <x:row r="137">
      <x:c r="A137" s="39" t="s">
        <x:v>55</x:v>
      </x:c>
      <x:c r="B137" s="39" t="s">
        <x:v>56</x:v>
      </x:c>
      <x:c r="C137" s="39" t="s">
        <x:v>237</x:v>
      </x:c>
      <x:c r="D137" s="39" t="s">
        <x:v>238</x:v>
      </x:c>
      <x:c r="E137" s="39" t="s">
        <x:v>19</x:v>
      </x:c>
      <x:c r="F137" s="39" t="s">
        <x:v>20</x:v>
      </x:c>
      <x:c r="G137" s="39" t="s">
        <x:v>21</x:v>
      </x:c>
      <x:c r="H137" s="39" t="s">
        <x:v>111</x:v>
      </x:c>
      <x:c r="I137" s="44">
        <x:v>87.59</x:v>
      </x:c>
      <x:c r="J137" s="44">
        <x:v>8.76</x:v>
      </x:c>
      <x:c r="K137" s="39" t="s">
        <x:v>23</x:v>
      </x:c>
      <x:c r="L137" s="44">
        <x:v>7.8840000000000003</x:v>
      </x:c>
      <x:c r="M137" s="44">
        <x:v>0.15768000000000001</x:v>
      </x:c>
      <x:c r="N137" s="44">
        <x:v>7.7263200000000003</x:v>
      </x:c>
    </x:row>
    <x:row r="138">
      <x:c r="A138" s="39" t="s">
        <x:v>55</x:v>
      </x:c>
      <x:c r="B138" s="39" t="s">
        <x:v>56</x:v>
      </x:c>
      <x:c r="C138" s="39" t="s">
        <x:v>239</x:v>
      </x:c>
      <x:c r="D138" s="39" t="s">
        <x:v>240</x:v>
      </x:c>
      <x:c r="E138" s="39" t="s">
        <x:v>19</x:v>
      </x:c>
      <x:c r="F138" s="39" t="s">
        <x:v>20</x:v>
      </x:c>
      <x:c r="G138" s="39" t="s">
        <x:v>21</x:v>
      </x:c>
      <x:c r="H138" s="39" t="s">
        <x:v>111</x:v>
      </x:c>
      <x:c r="I138" s="44">
        <x:v>118.24</x:v>
      </x:c>
      <x:c r="J138" s="44">
        <x:v>11.82</x:v>
      </x:c>
      <x:c r="K138" s="39" t="s">
        <x:v>23</x:v>
      </x:c>
      <x:c r="L138" s="44">
        <x:v>10.638</x:v>
      </x:c>
      <x:c r="M138" s="44">
        <x:v>0.21276</x:v>
      </x:c>
      <x:c r="N138" s="44">
        <x:v>10.425240000000001</x:v>
      </x:c>
    </x:row>
    <x:row r="139">
      <x:c r="A139" s="39" t="s">
        <x:v>55</x:v>
      </x:c>
      <x:c r="B139" s="39" t="s">
        <x:v>56</x:v>
      </x:c>
      <x:c r="C139" s="39" t="s">
        <x:v>241</x:v>
      </x:c>
      <x:c r="D139" s="39" t="s">
        <x:v>242</x:v>
      </x:c>
      <x:c r="E139" s="39" t="s">
        <x:v>19</x:v>
      </x:c>
      <x:c r="F139" s="39" t="s">
        <x:v>20</x:v>
      </x:c>
      <x:c r="G139" s="39" t="s">
        <x:v>21</x:v>
      </x:c>
      <x:c r="H139" s="39" t="s">
        <x:v>111</x:v>
      </x:c>
      <x:c r="I139" s="44">
        <x:v>221.63</x:v>
      </x:c>
      <x:c r="J139" s="44">
        <x:v>22.16</x:v>
      </x:c>
      <x:c r="K139" s="39" t="s">
        <x:v>23</x:v>
      </x:c>
      <x:c r="L139" s="44">
        <x:v>19.943999999999999</x:v>
      </x:c>
      <x:c r="M139" s="44">
        <x:v>0.39888000000000001</x:v>
      </x:c>
      <x:c r="N139" s="44">
        <x:v>19.545120000000001</x:v>
      </x:c>
    </x:row>
    <x:row r="140">
      <x:c r="A140" s="39" t="s">
        <x:v>55</x:v>
      </x:c>
      <x:c r="B140" s="39" t="s">
        <x:v>56</x:v>
      </x:c>
      <x:c r="C140" s="39" t="s">
        <x:v>243</x:v>
      </x:c>
      <x:c r="D140" s="39" t="s">
        <x:v>244</x:v>
      </x:c>
      <x:c r="E140" s="39" t="s">
        <x:v>19</x:v>
      </x:c>
      <x:c r="F140" s="39" t="s">
        <x:v>20</x:v>
      </x:c>
      <x:c r="G140" s="39" t="s">
        <x:v>21</x:v>
      </x:c>
      <x:c r="H140" s="39" t="s">
        <x:v>111</x:v>
      </x:c>
      <x:c r="I140" s="44">
        <x:v>96.35</x:v>
      </x:c>
      <x:c r="J140" s="44">
        <x:v>9.6300000000000008</x:v>
      </x:c>
      <x:c r="K140" s="39" t="s">
        <x:v>23</x:v>
      </x:c>
      <x:c r="L140" s="44">
        <x:v>8.6670000000000016</x:v>
      </x:c>
      <x:c r="M140" s="44">
        <x:v>0.17334000000000002</x:v>
      </x:c>
      <x:c r="N140" s="44">
        <x:v>8.493660000000002</x:v>
      </x:c>
    </x:row>
    <x:row r="141">
      <x:c r="A141" s="39" t="s">
        <x:v>55</x:v>
      </x:c>
      <x:c r="B141" s="39" t="s">
        <x:v>56</x:v>
      </x:c>
      <x:c r="C141" s="39" t="s">
        <x:v>245</x:v>
      </x:c>
      <x:c r="D141" s="39" t="s">
        <x:v>246</x:v>
      </x:c>
      <x:c r="E141" s="39" t="s">
        <x:v>19</x:v>
      </x:c>
      <x:c r="F141" s="39" t="s">
        <x:v>32</x:v>
      </x:c>
      <x:c r="G141" s="39" t="s">
        <x:v>21</x:v>
      </x:c>
      <x:c r="H141" s="39" t="s">
        <x:v>111</x:v>
      </x:c>
      <x:c r="I141" s="44">
        <x:v>87.55</x:v>
      </x:c>
      <x:c r="J141" s="44">
        <x:v>19.260000000000002</x:v>
      </x:c>
      <x:c r="K141" s="39" t="s">
        <x:v>23</x:v>
      </x:c>
      <x:c r="L141" s="44">
        <x:v>17.334000000000003</x:v>
      </x:c>
      <x:c r="M141" s="44">
        <x:v>0.34668000000000004</x:v>
      </x:c>
      <x:c r="N141" s="44">
        <x:v>16.987320000000004</x:v>
      </x:c>
    </x:row>
    <x:row r="142">
      <x:c r="A142" s="39" t="s">
        <x:v>55</x:v>
      </x:c>
      <x:c r="B142" s="39" t="s">
        <x:v>56</x:v>
      </x:c>
      <x:c r="C142" s="39" t="s">
        <x:v>247</x:v>
      </x:c>
      <x:c r="D142" s="39" t="s">
        <x:v>248</x:v>
      </x:c>
      <x:c r="E142" s="39" t="s">
        <x:v>19</x:v>
      </x:c>
      <x:c r="F142" s="39" t="s">
        <x:v>32</x:v>
      </x:c>
      <x:c r="G142" s="39" t="s">
        <x:v>21</x:v>
      </x:c>
      <x:c r="H142" s="39" t="s">
        <x:v>111</x:v>
      </x:c>
      <x:c r="I142" s="44">
        <x:v>167.41</x:v>
      </x:c>
      <x:c r="J142" s="44">
        <x:v>36.83</x:v>
      </x:c>
      <x:c r="K142" s="39" t="s">
        <x:v>23</x:v>
      </x:c>
      <x:c r="L142" s="44">
        <x:v>33.146999999999998</x:v>
      </x:c>
      <x:c r="M142" s="44">
        <x:v>0.66293999999999997</x:v>
      </x:c>
      <x:c r="N142" s="44">
        <x:v>32.484059999999999</x:v>
      </x:c>
    </x:row>
    <x:row r="143">
      <x:c r="A143" s="39" t="s">
        <x:v>55</x:v>
      </x:c>
      <x:c r="B143" s="39" t="s">
        <x:v>56</x:v>
      </x:c>
      <x:c r="C143" s="39" t="s">
        <x:v>249</x:v>
      </x:c>
      <x:c r="D143" s="39" t="s">
        <x:v>250</x:v>
      </x:c>
      <x:c r="E143" s="39" t="s">
        <x:v>19</x:v>
      </x:c>
      <x:c r="F143" s="39" t="s">
        <x:v>59</x:v>
      </x:c>
      <x:c r="G143" s="39" t="s">
        <x:v>21</x:v>
      </x:c>
      <x:c r="H143" s="39" t="s">
        <x:v>111</x:v>
      </x:c>
      <x:c r="I143" s="44">
        <x:v>738.92</x:v>
      </x:c>
      <x:c r="J143" s="44">
        <x:v>162.56</x:v>
      </x:c>
      <x:c r="K143" s="39" t="s">
        <x:v>23</x:v>
      </x:c>
      <x:c r="L143" s="44">
        <x:v>146.304</x:v>
      </x:c>
      <x:c r="M143" s="44">
        <x:v>2.9260800000000002</x:v>
      </x:c>
      <x:c r="N143" s="44">
        <x:v>143.37791999999999</x:v>
      </x:c>
    </x:row>
    <x:row r="144">
      <x:c r="A144" s="39" t="s">
        <x:v>55</x:v>
      </x:c>
      <x:c r="B144" s="39" t="s">
        <x:v>56</x:v>
      </x:c>
      <x:c r="C144" s="39" t="s">
        <x:v>251</x:v>
      </x:c>
      <x:c r="D144" s="39" t="s">
        <x:v>252</x:v>
      </x:c>
      <x:c r="E144" s="39" t="s">
        <x:v>19</x:v>
      </x:c>
      <x:c r="F144" s="39" t="s">
        <x:v>20</x:v>
      </x:c>
      <x:c r="G144" s="39" t="s">
        <x:v>21</x:v>
      </x:c>
      <x:c r="H144" s="39" t="s">
        <x:v>111</x:v>
      </x:c>
      <x:c r="I144" s="44">
        <x:v>394.15</x:v>
      </x:c>
      <x:c r="J144" s="44">
        <x:v>39.409999999999997</x:v>
      </x:c>
      <x:c r="K144" s="39" t="s">
        <x:v>23</x:v>
      </x:c>
      <x:c r="L144" s="44">
        <x:v>35.469000000000001</x:v>
      </x:c>
      <x:c r="M144" s="44">
        <x:v>0.70938000000000001</x:v>
      </x:c>
      <x:c r="N144" s="44">
        <x:v>34.759619999999998</x:v>
      </x:c>
    </x:row>
    <x:row r="145">
      <x:c r="A145" s="39" t="s">
        <x:v>55</x:v>
      </x:c>
      <x:c r="B145" s="39" t="s">
        <x:v>56</x:v>
      </x:c>
      <x:c r="C145" s="39" t="s">
        <x:v>253</x:v>
      </x:c>
      <x:c r="D145" s="39" t="s">
        <x:v>254</x:v>
      </x:c>
      <x:c r="E145" s="39" t="s">
        <x:v>19</x:v>
      </x:c>
      <x:c r="F145" s="39" t="s">
        <x:v>32</x:v>
      </x:c>
      <x:c r="G145" s="39" t="s">
        <x:v>21</x:v>
      </x:c>
      <x:c r="H145" s="39" t="s">
        <x:v>111</x:v>
      </x:c>
      <x:c r="I145" s="44">
        <x:v>182.63</x:v>
      </x:c>
      <x:c r="J145" s="44">
        <x:v>40.18</x:v>
      </x:c>
      <x:c r="K145" s="39" t="s">
        <x:v>23</x:v>
      </x:c>
      <x:c r="L145" s="44">
        <x:v>36.161999999999999</x:v>
      </x:c>
      <x:c r="M145" s="44">
        <x:v>0.72323999999999999</x:v>
      </x:c>
      <x:c r="N145" s="44">
        <x:v>35.438760000000002</x:v>
      </x:c>
    </x:row>
    <x:row r="146">
      <x:c r="A146" s="39" t="s">
        <x:v>55</x:v>
      </x:c>
      <x:c r="B146" s="39" t="s">
        <x:v>56</x:v>
      </x:c>
      <x:c r="C146" s="39" t="s">
        <x:v>255</x:v>
      </x:c>
      <x:c r="D146" s="39" t="s">
        <x:v>256</x:v>
      </x:c>
      <x:c r="E146" s="39" t="s">
        <x:v>19</x:v>
      </x:c>
      <x:c r="F146" s="39" t="s">
        <x:v>32</x:v>
      </x:c>
      <x:c r="G146" s="39" t="s">
        <x:v>21</x:v>
      </x:c>
      <x:c r="H146" s="39" t="s">
        <x:v>111</x:v>
      </x:c>
      <x:c r="I146" s="44">
        <x:v>156.72999999999999</x:v>
      </x:c>
      <x:c r="J146" s="44">
        <x:v>34.479999999999997</x:v>
      </x:c>
      <x:c r="K146" s="39" t="s">
        <x:v>23</x:v>
      </x:c>
      <x:c r="L146" s="44">
        <x:v>31.031999999999996</x:v>
      </x:c>
      <x:c r="M146" s="44">
        <x:v>0.62063999999999997</x:v>
      </x:c>
      <x:c r="N146" s="44">
        <x:v>30.411359999999995</x:v>
      </x:c>
    </x:row>
    <x:row r="147">
      <x:c r="A147" s="39" t="s">
        <x:v>55</x:v>
      </x:c>
      <x:c r="B147" s="39" t="s">
        <x:v>56</x:v>
      </x:c>
      <x:c r="C147" s="39" t="s">
        <x:v>257</x:v>
      </x:c>
      <x:c r="D147" s="39" t="s">
        <x:v>258</x:v>
      </x:c>
      <x:c r="E147" s="39" t="s">
        <x:v>19</x:v>
      </x:c>
      <x:c r="F147" s="39" t="s">
        <x:v>20</x:v>
      </x:c>
      <x:c r="G147" s="39" t="s">
        <x:v>21</x:v>
      </x:c>
      <x:c r="H147" s="39" t="s">
        <x:v>111</x:v>
      </x:c>
      <x:c r="I147" s="44">
        <x:v>109.48</x:v>
      </x:c>
      <x:c r="J147" s="44">
        <x:v>10.95</x:v>
      </x:c>
      <x:c r="K147" s="39" t="s">
        <x:v>23</x:v>
      </x:c>
      <x:c r="L147" s="44">
        <x:v>9.8550000000000004</x:v>
      </x:c>
      <x:c r="M147" s="44">
        <x:v>0.19710000000000003</x:v>
      </x:c>
      <x:c r="N147" s="44">
        <x:v>9.6578999999999997</x:v>
      </x:c>
    </x:row>
    <x:row r="148">
      <x:c r="A148" s="39" t="s">
        <x:v>55</x:v>
      </x:c>
      <x:c r="B148" s="39" t="s">
        <x:v>56</x:v>
      </x:c>
      <x:c r="C148" s="39" t="s">
        <x:v>259</x:v>
      </x:c>
      <x:c r="D148" s="39" t="s">
        <x:v>260</x:v>
      </x:c>
      <x:c r="E148" s="39" t="s">
        <x:v>19</x:v>
      </x:c>
      <x:c r="F148" s="39" t="s">
        <x:v>20</x:v>
      </x:c>
      <x:c r="G148" s="39" t="s">
        <x:v>21</x:v>
      </x:c>
      <x:c r="H148" s="39" t="s">
        <x:v>111</x:v>
      </x:c>
      <x:c r="I148" s="44">
        <x:v>87.59</x:v>
      </x:c>
      <x:c r="J148" s="44">
        <x:v>8.76</x:v>
      </x:c>
      <x:c r="K148" s="39" t="s">
        <x:v>23</x:v>
      </x:c>
      <x:c r="L148" s="44">
        <x:v>7.8840000000000003</x:v>
      </x:c>
      <x:c r="M148" s="44">
        <x:v>0.15768000000000001</x:v>
      </x:c>
      <x:c r="N148" s="44">
        <x:v>7.7263200000000003</x:v>
      </x:c>
    </x:row>
    <x:row r="149">
      <x:c r="A149" s="39" t="s">
        <x:v>55</x:v>
      </x:c>
      <x:c r="B149" s="39" t="s">
        <x:v>56</x:v>
      </x:c>
      <x:c r="C149" s="39" t="s">
        <x:v>261</x:v>
      </x:c>
      <x:c r="D149" s="39" t="s">
        <x:v>262</x:v>
      </x:c>
      <x:c r="E149" s="39" t="s">
        <x:v>19</x:v>
      </x:c>
      <x:c r="F149" s="39" t="s">
        <x:v>20</x:v>
      </x:c>
      <x:c r="G149" s="39" t="s">
        <x:v>21</x:v>
      </x:c>
      <x:c r="H149" s="39" t="s">
        <x:v>111</x:v>
      </x:c>
      <x:c r="I149" s="44">
        <x:v>109.48</x:v>
      </x:c>
      <x:c r="J149" s="44">
        <x:v>10.95</x:v>
      </x:c>
      <x:c r="K149" s="39" t="s">
        <x:v>23</x:v>
      </x:c>
      <x:c r="L149" s="44">
        <x:v>9.8550000000000004</x:v>
      </x:c>
      <x:c r="M149" s="44">
        <x:v>0.19710000000000003</x:v>
      </x:c>
      <x:c r="N149" s="44">
        <x:v>9.6578999999999997</x:v>
      </x:c>
    </x:row>
    <x:row r="150">
      <x:c r="A150" s="39" t="s">
        <x:v>55</x:v>
      </x:c>
      <x:c r="B150" s="39" t="s">
        <x:v>56</x:v>
      </x:c>
      <x:c r="C150" s="39" t="s">
        <x:v>263</x:v>
      </x:c>
      <x:c r="D150" s="39" t="s">
        <x:v>264</x:v>
      </x:c>
      <x:c r="E150" s="39" t="s">
        <x:v>19</x:v>
      </x:c>
      <x:c r="F150" s="39" t="s">
        <x:v>20</x:v>
      </x:c>
      <x:c r="G150" s="39" t="s">
        <x:v>21</x:v>
      </x:c>
      <x:c r="H150" s="39" t="s">
        <x:v>111</x:v>
      </x:c>
      <x:c r="I150" s="44">
        <x:v>109.57</x:v>
      </x:c>
      <x:c r="J150" s="44">
        <x:v>13.15</x:v>
      </x:c>
      <x:c r="K150" s="39" t="s">
        <x:v>23</x:v>
      </x:c>
      <x:c r="L150" s="44">
        <x:v>11.835000000000001</x:v>
      </x:c>
      <x:c r="M150" s="44">
        <x:v>0.23670000000000002</x:v>
      </x:c>
      <x:c r="N150" s="44">
        <x:v>11.5983</x:v>
      </x:c>
    </x:row>
    <x:row r="151">
      <x:c r="A151" s="39" t="s">
        <x:v>55</x:v>
      </x:c>
      <x:c r="B151" s="39" t="s">
        <x:v>56</x:v>
      </x:c>
      <x:c r="C151" s="39" t="s">
        <x:v>265</x:v>
      </x:c>
      <x:c r="D151" s="39" t="s">
        <x:v>266</x:v>
      </x:c>
      <x:c r="E151" s="39" t="s">
        <x:v>19</x:v>
      </x:c>
      <x:c r="F151" s="39" t="s">
        <x:v>32</x:v>
      </x:c>
      <x:c r="G151" s="39" t="s">
        <x:v>21</x:v>
      </x:c>
      <x:c r="H151" s="39" t="s">
        <x:v>111</x:v>
      </x:c>
      <x:c r="I151" s="44">
        <x:v>448.09</x:v>
      </x:c>
      <x:c r="J151" s="44">
        <x:v>116.5</x:v>
      </x:c>
      <x:c r="K151" s="39" t="s">
        <x:v>23</x:v>
      </x:c>
      <x:c r="L151" s="44">
        <x:v>104.85000000000001</x:v>
      </x:c>
      <x:c r="M151" s="44">
        <x:v>2.0970000000000004</x:v>
      </x:c>
      <x:c r="N151" s="44">
        <x:v>102.75300000000001</x:v>
      </x:c>
    </x:row>
    <x:row r="152">
      <x:c r="A152" s="39" t="s">
        <x:v>55</x:v>
      </x:c>
      <x:c r="B152" s="39" t="s">
        <x:v>56</x:v>
      </x:c>
      <x:c r="C152" s="39" t="s">
        <x:v>267</x:v>
      </x:c>
      <x:c r="D152" s="39" t="s">
        <x:v>268</x:v>
      </x:c>
      <x:c r="E152" s="39" t="s">
        <x:v>19</x:v>
      </x:c>
      <x:c r="F152" s="39" t="s">
        <x:v>32</x:v>
      </x:c>
      <x:c r="G152" s="39" t="s">
        <x:v>21</x:v>
      </x:c>
      <x:c r="H152" s="39" t="s">
        <x:v>111</x:v>
      </x:c>
      <x:c r="I152" s="44">
        <x:v>102.68</x:v>
      </x:c>
      <x:c r="J152" s="44">
        <x:v>26.7</x:v>
      </x:c>
      <x:c r="K152" s="39" t="s">
        <x:v>23</x:v>
      </x:c>
      <x:c r="L152" s="44">
        <x:v>24.03</x:v>
      </x:c>
      <x:c r="M152" s="44">
        <x:v>0.48060000000000003</x:v>
      </x:c>
      <x:c r="N152" s="44">
        <x:v>23.549400000000002</x:v>
      </x:c>
    </x:row>
    <x:row r="153">
      <x:c r="A153" s="39" t="s">
        <x:v>55</x:v>
      </x:c>
      <x:c r="B153" s="39" t="s">
        <x:v>56</x:v>
      </x:c>
      <x:c r="C153" s="39" t="s">
        <x:v>269</x:v>
      </x:c>
      <x:c r="D153" s="39" t="s">
        <x:v>270</x:v>
      </x:c>
      <x:c r="E153" s="39" t="s">
        <x:v>19</x:v>
      </x:c>
      <x:c r="F153" s="39" t="s">
        <x:v>20</x:v>
      </x:c>
      <x:c r="G153" s="39" t="s">
        <x:v>21</x:v>
      </x:c>
      <x:c r="H153" s="39" t="s">
        <x:v>111</x:v>
      </x:c>
      <x:c r="I153" s="44">
        <x:v>88.75</x:v>
      </x:c>
      <x:c r="J153" s="44">
        <x:v>10.65</x:v>
      </x:c>
      <x:c r="K153" s="39" t="s">
        <x:v>23</x:v>
      </x:c>
      <x:c r="L153" s="44">
        <x:v>9.5850000000000009</x:v>
      </x:c>
      <x:c r="M153" s="44">
        <x:v>0.19170000000000001</x:v>
      </x:c>
      <x:c r="N153" s="44">
        <x:v>9.3933</x:v>
      </x:c>
    </x:row>
    <x:row r="154">
      <x:c r="A154" s="39" t="s">
        <x:v>55</x:v>
      </x:c>
      <x:c r="B154" s="39" t="s">
        <x:v>56</x:v>
      </x:c>
      <x:c r="C154" s="39" t="s">
        <x:v>271</x:v>
      </x:c>
      <x:c r="D154" s="39" t="s">
        <x:v>272</x:v>
      </x:c>
      <x:c r="E154" s="39" t="s">
        <x:v>19</x:v>
      </x:c>
      <x:c r="F154" s="39" t="s">
        <x:v>20</x:v>
      </x:c>
      <x:c r="G154" s="39" t="s">
        <x:v>21</x:v>
      </x:c>
      <x:c r="H154" s="39" t="s">
        <x:v>111</x:v>
      </x:c>
      <x:c r="I154" s="44">
        <x:v>88.42</x:v>
      </x:c>
      <x:c r="J154" s="44">
        <x:v>10.61</x:v>
      </x:c>
      <x:c r="K154" s="39" t="s">
        <x:v>23</x:v>
      </x:c>
      <x:c r="L154" s="44">
        <x:v>9.5489999999999995</x:v>
      </x:c>
      <x:c r="M154" s="44">
        <x:v>0.19097999999999998</x:v>
      </x:c>
      <x:c r="N154" s="44">
        <x:v>9.3580199999999998</x:v>
      </x:c>
    </x:row>
    <x:row r="155">
      <x:c r="A155" s="39" t="s">
        <x:v>55</x:v>
      </x:c>
      <x:c r="B155" s="39" t="s">
        <x:v>56</x:v>
      </x:c>
      <x:c r="C155" s="39" t="s">
        <x:v>273</x:v>
      </x:c>
      <x:c r="D155" s="39" t="s">
        <x:v>274</x:v>
      </x:c>
      <x:c r="E155" s="39" t="s">
        <x:v>19</x:v>
      </x:c>
      <x:c r="F155" s="39" t="s">
        <x:v>20</x:v>
      </x:c>
      <x:c r="G155" s="39" t="s">
        <x:v>21</x:v>
      </x:c>
      <x:c r="H155" s="39" t="s">
        <x:v>111</x:v>
      </x:c>
      <x:c r="I155" s="44">
        <x:v>288.22000000000003</x:v>
      </x:c>
      <x:c r="J155" s="44">
        <x:v>74.94</x:v>
      </x:c>
      <x:c r="K155" s="39" t="s">
        <x:v>23</x:v>
      </x:c>
      <x:c r="L155" s="44">
        <x:v>67.445999999999998</x:v>
      </x:c>
      <x:c r="M155" s="44">
        <x:v>1.3489199999999999</x:v>
      </x:c>
      <x:c r="N155" s="44">
        <x:v>66.097079999999991</x:v>
      </x:c>
    </x:row>
    <x:row r="156">
      <x:c r="A156" s="39" t="s">
        <x:v>55</x:v>
      </x:c>
      <x:c r="B156" s="39" t="s">
        <x:v>56</x:v>
      </x:c>
      <x:c r="C156" s="39" t="s">
        <x:v>273</x:v>
      </x:c>
      <x:c r="D156" s="39" t="s">
        <x:v>274</x:v>
      </x:c>
      <x:c r="E156" s="39" t="s">
        <x:v>19</x:v>
      </x:c>
      <x:c r="F156" s="39" t="s">
        <x:v>20</x:v>
      </x:c>
      <x:c r="G156" s="39" t="s">
        <x:v>21</x:v>
      </x:c>
      <x:c r="H156" s="39" t="s">
        <x:v>111</x:v>
      </x:c>
      <x:c r="I156" s="44">
        <x:v>288.22000000000003</x:v>
      </x:c>
      <x:c r="J156" s="44">
        <x:v>74.94</x:v>
      </x:c>
      <x:c r="K156" s="39" t="s">
        <x:v>23</x:v>
      </x:c>
      <x:c r="L156" s="44">
        <x:v>67.445999999999998</x:v>
      </x:c>
      <x:c r="M156" s="44">
        <x:v>1.3489199999999999</x:v>
      </x:c>
      <x:c r="N156" s="44">
        <x:v>66.097079999999991</x:v>
      </x:c>
    </x:row>
    <x:row r="157">
      <x:c r="A157" s="39" t="s">
        <x:v>55</x:v>
      </x:c>
      <x:c r="B157" s="39" t="s">
        <x:v>56</x:v>
      </x:c>
      <x:c r="C157" s="39" t="s">
        <x:v>273</x:v>
      </x:c>
      <x:c r="D157" s="39" t="s">
        <x:v>274</x:v>
      </x:c>
      <x:c r="E157" s="39" t="s">
        <x:v>19</x:v>
      </x:c>
      <x:c r="F157" s="39" t="s">
        <x:v>20</x:v>
      </x:c>
      <x:c r="G157" s="39" t="s">
        <x:v>21</x:v>
      </x:c>
      <x:c r="H157" s="39" t="s">
        <x:v>111</x:v>
      </x:c>
      <x:c r="I157" s="44">
        <x:v>288.22000000000003</x:v>
      </x:c>
      <x:c r="J157" s="44">
        <x:v>74.94</x:v>
      </x:c>
      <x:c r="K157" s="39" t="s">
        <x:v>23</x:v>
      </x:c>
      <x:c r="L157" s="44">
        <x:v>67.445999999999998</x:v>
      </x:c>
      <x:c r="M157" s="44">
        <x:v>1.3489199999999999</x:v>
      </x:c>
      <x:c r="N157" s="44">
        <x:v>66.097079999999991</x:v>
      </x:c>
    </x:row>
    <x:row r="158">
      <x:c r="A158" s="39" t="s">
        <x:v>55</x:v>
      </x:c>
      <x:c r="B158" s="39" t="s">
        <x:v>56</x:v>
      </x:c>
      <x:c r="C158" s="39" t="s">
        <x:v>273</x:v>
      </x:c>
      <x:c r="D158" s="39" t="s">
        <x:v>274</x:v>
      </x:c>
      <x:c r="E158" s="39" t="s">
        <x:v>19</x:v>
      </x:c>
      <x:c r="F158" s="39" t="s">
        <x:v>20</x:v>
      </x:c>
      <x:c r="G158" s="39" t="s">
        <x:v>21</x:v>
      </x:c>
      <x:c r="H158" s="39" t="s">
        <x:v>111</x:v>
      </x:c>
      <x:c r="I158" s="44">
        <x:v>288.22000000000003</x:v>
      </x:c>
      <x:c r="J158" s="44">
        <x:v>74.94</x:v>
      </x:c>
      <x:c r="K158" s="39" t="s">
        <x:v>23</x:v>
      </x:c>
      <x:c r="L158" s="44">
        <x:v>67.445999999999998</x:v>
      </x:c>
      <x:c r="M158" s="44">
        <x:v>1.3489199999999999</x:v>
      </x:c>
      <x:c r="N158" s="44">
        <x:v>66.097079999999991</x:v>
      </x:c>
    </x:row>
    <x:row r="159">
      <x:c r="A159" s="39" t="s">
        <x:v>55</x:v>
      </x:c>
      <x:c r="B159" s="39" t="s">
        <x:v>56</x:v>
      </x:c>
      <x:c r="C159" s="39" t="s">
        <x:v>275</x:v>
      </x:c>
      <x:c r="D159" s="39" t="s">
        <x:v>276</x:v>
      </x:c>
      <x:c r="E159" s="39" t="s">
        <x:v>19</x:v>
      </x:c>
      <x:c r="F159" s="39" t="s">
        <x:v>20</x:v>
      </x:c>
      <x:c r="G159" s="39" t="s">
        <x:v>21</x:v>
      </x:c>
      <x:c r="H159" s="39" t="s">
        <x:v>111</x:v>
      </x:c>
      <x:c r="I159" s="44">
        <x:v>952.64</x:v>
      </x:c>
      <x:c r="J159" s="44">
        <x:v>247.69</x:v>
      </x:c>
      <x:c r="K159" s="39" t="s">
        <x:v>23</x:v>
      </x:c>
      <x:c r="L159" s="44">
        <x:v>222.92099999999999</x:v>
      </x:c>
      <x:c r="M159" s="44">
        <x:v>4.4584200000000003</x:v>
      </x:c>
      <x:c r="N159" s="44">
        <x:v>218.46258</x:v>
      </x:c>
    </x:row>
    <x:row r="160">
      <x:c r="A160" s="39" t="s">
        <x:v>55</x:v>
      </x:c>
      <x:c r="B160" s="39" t="s">
        <x:v>56</x:v>
      </x:c>
      <x:c r="C160" s="39" t="s">
        <x:v>277</x:v>
      </x:c>
      <x:c r="D160" s="39" t="s">
        <x:v>278</x:v>
      </x:c>
      <x:c r="E160" s="39" t="s">
        <x:v>19</x:v>
      </x:c>
      <x:c r="F160" s="39" t="s">
        <x:v>32</x:v>
      </x:c>
      <x:c r="G160" s="39" t="s">
        <x:v>21</x:v>
      </x:c>
      <x:c r="H160" s="39" t="s">
        <x:v>111</x:v>
      </x:c>
      <x:c r="I160" s="44">
        <x:v>605.35</x:v>
      </x:c>
      <x:c r="J160" s="44">
        <x:v>96.86</x:v>
      </x:c>
      <x:c r="K160" s="39" t="s">
        <x:v>23</x:v>
      </x:c>
      <x:c r="L160" s="44">
        <x:v>87.174000000000007</x:v>
      </x:c>
      <x:c r="M160" s="44">
        <x:v>1.7434800000000001</x:v>
      </x:c>
      <x:c r="N160" s="44">
        <x:v>85.430520000000001</x:v>
      </x:c>
    </x:row>
    <x:row r="161">
      <x:c r="A161" s="39" t="s">
        <x:v>55</x:v>
      </x:c>
      <x:c r="B161" s="39" t="s">
        <x:v>56</x:v>
      </x:c>
      <x:c r="C161" s="39" t="s">
        <x:v>279</x:v>
      </x:c>
      <x:c r="D161" s="39" t="s">
        <x:v>280</x:v>
      </x:c>
      <x:c r="E161" s="39" t="s">
        <x:v>19</x:v>
      </x:c>
      <x:c r="F161" s="39" t="s">
        <x:v>32</x:v>
      </x:c>
      <x:c r="G161" s="39" t="s">
        <x:v>21</x:v>
      </x:c>
      <x:c r="H161" s="39" t="s">
        <x:v>111</x:v>
      </x:c>
      <x:c r="I161" s="44">
        <x:v>2756.59</x:v>
      </x:c>
      <x:c r="J161" s="44">
        <x:v>441.05</x:v>
      </x:c>
      <x:c r="K161" s="39" t="s">
        <x:v>23</x:v>
      </x:c>
      <x:c r="L161" s="44">
        <x:v>396.94499999999999</x:v>
      </x:c>
      <x:c r="M161" s="44">
        <x:v>7.9389000000000003</x:v>
      </x:c>
      <x:c r="N161" s="44">
        <x:v>389.0061</x:v>
      </x:c>
    </x:row>
    <x:row r="162">
      <x:c r="A162" s="39" t="s">
        <x:v>55</x:v>
      </x:c>
      <x:c r="B162" s="39" t="s">
        <x:v>56</x:v>
      </x:c>
      <x:c r="C162" s="39" t="s">
        <x:v>281</x:v>
      </x:c>
      <x:c r="D162" s="39" t="s">
        <x:v>282</x:v>
      </x:c>
      <x:c r="E162" s="39" t="s">
        <x:v>19</x:v>
      </x:c>
      <x:c r="F162" s="39" t="s">
        <x:v>20</x:v>
      </x:c>
      <x:c r="G162" s="39" t="s">
        <x:v>21</x:v>
      </x:c>
      <x:c r="H162" s="39" t="s">
        <x:v>111</x:v>
      </x:c>
      <x:c r="I162" s="44">
        <x:v>48.81</x:v>
      </x:c>
      <x:c r="J162" s="44">
        <x:v>8.2899999999999991</x:v>
      </x:c>
      <x:c r="K162" s="39" t="s">
        <x:v>23</x:v>
      </x:c>
      <x:c r="L162" s="44">
        <x:v>7.4609999999999994</x:v>
      </x:c>
      <x:c r="M162" s="44">
        <x:v>0.14921999999999999</x:v>
      </x:c>
      <x:c r="N162" s="44">
        <x:v>7.3117799999999997</x:v>
      </x:c>
    </x:row>
    <x:row r="163">
      <x:c r="A163" s="39" t="s">
        <x:v>55</x:v>
      </x:c>
      <x:c r="B163" s="39" t="s">
        <x:v>56</x:v>
      </x:c>
      <x:c r="C163" s="39" t="s">
        <x:v>283</x:v>
      </x:c>
      <x:c r="D163" s="39" t="s">
        <x:v>284</x:v>
      </x:c>
      <x:c r="E163" s="39" t="s">
        <x:v>19</x:v>
      </x:c>
      <x:c r="F163" s="39" t="s">
        <x:v>20</x:v>
      </x:c>
      <x:c r="G163" s="39" t="s">
        <x:v>21</x:v>
      </x:c>
      <x:c r="H163" s="39" t="s">
        <x:v>111</x:v>
      </x:c>
      <x:c r="I163" s="44">
        <x:v>38.14</x:v>
      </x:c>
      <x:c r="J163" s="44">
        <x:v>6.48</x:v>
      </x:c>
      <x:c r="K163" s="39" t="s">
        <x:v>23</x:v>
      </x:c>
      <x:c r="L163" s="44">
        <x:v>5.8320000000000007</x:v>
      </x:c>
      <x:c r="M163" s="44">
        <x:v>0.11664000000000002</x:v>
      </x:c>
      <x:c r="N163" s="44">
        <x:v>5.7153600000000004</x:v>
      </x:c>
    </x:row>
    <x:row r="164">
      <x:c r="A164" s="39" t="s">
        <x:v>55</x:v>
      </x:c>
      <x:c r="B164" s="39" t="s">
        <x:v>56</x:v>
      </x:c>
      <x:c r="C164" s="39" t="s">
        <x:v>285</x:v>
      </x:c>
      <x:c r="D164" s="39" t="s">
        <x:v>286</x:v>
      </x:c>
      <x:c r="E164" s="39" t="s">
        <x:v>19</x:v>
      </x:c>
      <x:c r="F164" s="39" t="s">
        <x:v>20</x:v>
      </x:c>
      <x:c r="G164" s="39" t="s">
        <x:v>21</x:v>
      </x:c>
      <x:c r="H164" s="39" t="s">
        <x:v>111</x:v>
      </x:c>
      <x:c r="I164" s="44">
        <x:v>38.14</x:v>
      </x:c>
      <x:c r="J164" s="44">
        <x:v>6.48</x:v>
      </x:c>
      <x:c r="K164" s="39" t="s">
        <x:v>23</x:v>
      </x:c>
      <x:c r="L164" s="44">
        <x:v>5.8320000000000007</x:v>
      </x:c>
      <x:c r="M164" s="44">
        <x:v>0.11664000000000002</x:v>
      </x:c>
      <x:c r="N164" s="44">
        <x:v>5.7153600000000004</x:v>
      </x:c>
    </x:row>
    <x:row r="165">
      <x:c r="A165" s="39" t="s">
        <x:v>55</x:v>
      </x:c>
      <x:c r="B165" s="39" t="s">
        <x:v>56</x:v>
      </x:c>
      <x:c r="C165" s="39" t="s">
        <x:v>287</x:v>
      </x:c>
      <x:c r="D165" s="39" t="s">
        <x:v>288</x:v>
      </x:c>
      <x:c r="E165" s="39" t="s">
        <x:v>19</x:v>
      </x:c>
      <x:c r="F165" s="39" t="s">
        <x:v>20</x:v>
      </x:c>
      <x:c r="G165" s="39" t="s">
        <x:v>21</x:v>
      </x:c>
      <x:c r="H165" s="39" t="s">
        <x:v>111</x:v>
      </x:c>
      <x:c r="I165" s="44">
        <x:v>47.98</x:v>
      </x:c>
      <x:c r="J165" s="44">
        <x:v>8.15</x:v>
      </x:c>
      <x:c r="K165" s="39" t="s">
        <x:v>23</x:v>
      </x:c>
      <x:c r="L165" s="44">
        <x:v>7.3350000000000009</x:v>
      </x:c>
      <x:c r="M165" s="44">
        <x:v>0.14670000000000002</x:v>
      </x:c>
      <x:c r="N165" s="44">
        <x:v>7.1883000000000008</x:v>
      </x:c>
    </x:row>
    <x:row r="166">
      <x:c r="A166" s="39" t="s">
        <x:v>55</x:v>
      </x:c>
      <x:c r="B166" s="39" t="s">
        <x:v>56</x:v>
      </x:c>
      <x:c r="C166" s="39" t="s">
        <x:v>289</x:v>
      </x:c>
      <x:c r="D166" s="39" t="s">
        <x:v>290</x:v>
      </x:c>
      <x:c r="E166" s="39" t="s">
        <x:v>19</x:v>
      </x:c>
      <x:c r="F166" s="39" t="s">
        <x:v>20</x:v>
      </x:c>
      <x:c r="G166" s="39" t="s">
        <x:v>21</x:v>
      </x:c>
      <x:c r="H166" s="39" t="s">
        <x:v>111</x:v>
      </x:c>
      <x:c r="I166" s="44">
        <x:v>47.98</x:v>
      </x:c>
      <x:c r="J166" s="44">
        <x:v>8.15</x:v>
      </x:c>
      <x:c r="K166" s="39" t="s">
        <x:v>23</x:v>
      </x:c>
      <x:c r="L166" s="44">
        <x:v>7.3350000000000009</x:v>
      </x:c>
      <x:c r="M166" s="44">
        <x:v>0.14670000000000002</x:v>
      </x:c>
      <x:c r="N166" s="44">
        <x:v>7.1883000000000008</x:v>
      </x:c>
    </x:row>
    <x:row r="167">
      <x:c r="A167" s="39" t="s">
        <x:v>55</x:v>
      </x:c>
      <x:c r="B167" s="39" t="s">
        <x:v>56</x:v>
      </x:c>
      <x:c r="C167" s="39" t="s">
        <x:v>291</x:v>
      </x:c>
      <x:c r="D167" s="39" t="s">
        <x:v>292</x:v>
      </x:c>
      <x:c r="E167" s="39" t="s">
        <x:v>19</x:v>
      </x:c>
      <x:c r="F167" s="39" t="s">
        <x:v>20</x:v>
      </x:c>
      <x:c r="G167" s="39" t="s">
        <x:v>21</x:v>
      </x:c>
      <x:c r="H167" s="39" t="s">
        <x:v>111</x:v>
      </x:c>
      <x:c r="I167" s="44">
        <x:v>108.63</x:v>
      </x:c>
      <x:c r="J167" s="44">
        <x:v>18.46</x:v>
      </x:c>
      <x:c r="K167" s="39" t="s">
        <x:v>23</x:v>
      </x:c>
      <x:c r="L167" s="44">
        <x:v>16.614000000000001</x:v>
      </x:c>
      <x:c r="M167" s="44">
        <x:v>0.33228000000000002</x:v>
      </x:c>
      <x:c r="N167" s="44">
        <x:v>16.28172</x:v>
      </x:c>
    </x:row>
    <x:row r="168">
      <x:c r="A168" s="39" t="s">
        <x:v>55</x:v>
      </x:c>
      <x:c r="B168" s="39" t="s">
        <x:v>56</x:v>
      </x:c>
      <x:c r="C168" s="39" t="s">
        <x:v>293</x:v>
      </x:c>
      <x:c r="D168" s="39" t="s">
        <x:v>294</x:v>
      </x:c>
      <x:c r="E168" s="39" t="s">
        <x:v>19</x:v>
      </x:c>
      <x:c r="F168" s="39" t="s">
        <x:v>20</x:v>
      </x:c>
      <x:c r="G168" s="39" t="s">
        <x:v>21</x:v>
      </x:c>
      <x:c r="H168" s="39" t="s">
        <x:v>111</x:v>
      </x:c>
      <x:c r="I168" s="44">
        <x:v>108.63</x:v>
      </x:c>
      <x:c r="J168" s="44">
        <x:v>18.46</x:v>
      </x:c>
      <x:c r="K168" s="39" t="s">
        <x:v>23</x:v>
      </x:c>
      <x:c r="L168" s="44">
        <x:v>16.614000000000001</x:v>
      </x:c>
      <x:c r="M168" s="44">
        <x:v>0.33228000000000002</x:v>
      </x:c>
      <x:c r="N168" s="44">
        <x:v>16.28172</x:v>
      </x:c>
    </x:row>
    <x:row r="169">
      <x:c r="A169" s="39" t="s">
        <x:v>55</x:v>
      </x:c>
      <x:c r="B169" s="39" t="s">
        <x:v>56</x:v>
      </x:c>
      <x:c r="C169" s="39" t="s">
        <x:v>265</x:v>
      </x:c>
      <x:c r="D169" s="39" t="s">
        <x:v>266</x:v>
      </x:c>
      <x:c r="E169" s="39" t="s">
        <x:v>19</x:v>
      </x:c>
      <x:c r="F169" s="39" t="s">
        <x:v>32</x:v>
      </x:c>
      <x:c r="G169" s="39" t="s">
        <x:v>21</x:v>
      </x:c>
      <x:c r="H169" s="39" t="s">
        <x:v>111</x:v>
      </x:c>
      <x:c r="I169" s="44">
        <x:v>-155.05000000000001</x:v>
      </x:c>
      <x:c r="J169" s="44">
        <x:v>-40.31</x:v>
      </x:c>
      <x:c r="K169" s="39" t="s">
        <x:v>23</x:v>
      </x:c>
      <x:c r="L169" s="44">
        <x:v>-36.279000000000003</x:v>
      </x:c>
      <x:c r="M169" s="44">
        <x:v>-0.72558000000000011</x:v>
      </x:c>
      <x:c r="N169" s="44">
        <x:v>-35.553420000000003</x:v>
      </x:c>
    </x:row>
    <x:row r="170">
      <x:c r="A170" s="39" t="s">
        <x:v>55</x:v>
      </x:c>
      <x:c r="B170" s="39" t="s">
        <x:v>56</x:v>
      </x:c>
      <x:c r="C170" s="39" t="s">
        <x:v>267</x:v>
      </x:c>
      <x:c r="D170" s="39" t="s">
        <x:v>268</x:v>
      </x:c>
      <x:c r="E170" s="39" t="s">
        <x:v>19</x:v>
      </x:c>
      <x:c r="F170" s="39" t="s">
        <x:v>32</x:v>
      </x:c>
      <x:c r="G170" s="39" t="s">
        <x:v>21</x:v>
      </x:c>
      <x:c r="H170" s="39" t="s">
        <x:v>111</x:v>
      </x:c>
      <x:c r="I170" s="44">
        <x:v>-27.91</x:v>
      </x:c>
      <x:c r="J170" s="44">
        <x:v>-7.26</x:v>
      </x:c>
      <x:c r="K170" s="39" t="s">
        <x:v>23</x:v>
      </x:c>
      <x:c r="L170" s="44">
        <x:v>-6.5339999999999998</x:v>
      </x:c>
      <x:c r="M170" s="44">
        <x:v>-0.13067999999999999</x:v>
      </x:c>
      <x:c r="N170" s="44">
        <x:v>-6.4033199999999999</x:v>
      </x:c>
    </x:row>
    <x:row r="171">
      <x:c r="A171" s="39" t="s">
        <x:v>15</x:v>
      </x:c>
      <x:c r="B171" s="39" t="s">
        <x:v>16</x:v>
      </x:c>
      <x:c r="C171" s="39" t="s">
        <x:v>295</x:v>
      </x:c>
      <x:c r="D171" s="39" t="s">
        <x:v>296</x:v>
      </x:c>
      <x:c r="E171" s="39" t="s">
        <x:v>66</x:v>
      </x:c>
      <x:c r="F171" s="39" t="s">
        <x:v>32</x:v>
      </x:c>
      <x:c r="G171" s="39" t="s">
        <x:v>33</x:v>
      </x:c>
      <x:c r="H171" s="39" t="s">
        <x:v>111</x:v>
      </x:c>
      <x:c r="I171" s="44">
        <x:v>51.84</x:v>
      </x:c>
      <x:c r="J171" s="44">
        <x:v>7.26</x:v>
      </x:c>
      <x:c r="K171" s="39" t="s">
        <x:v>23</x:v>
      </x:c>
      <x:c r="L171" s="44">
        <x:v>6.5339999999999998</x:v>
      </x:c>
      <x:c r="M171" s="44">
        <x:v>0.13067999999999999</x:v>
      </x:c>
      <x:c r="N171" s="44">
        <x:v>6.4033199999999999</x:v>
      </x:c>
    </x:row>
    <x:row r="172">
      <x:c r="A172" s="39" t="s">
        <x:v>15</x:v>
      </x:c>
      <x:c r="B172" s="39" t="s">
        <x:v>16</x:v>
      </x:c>
      <x:c r="C172" s="39" t="s">
        <x:v>295</x:v>
      </x:c>
      <x:c r="D172" s="39" t="s">
        <x:v>296</x:v>
      </x:c>
      <x:c r="E172" s="39" t="s">
        <x:v>66</x:v>
      </x:c>
      <x:c r="F172" s="39" t="s">
        <x:v>32</x:v>
      </x:c>
      <x:c r="G172" s="39" t="s">
        <x:v>33</x:v>
      </x:c>
      <x:c r="H172" s="39" t="s">
        <x:v>111</x:v>
      </x:c>
      <x:c r="I172" s="44">
        <x:v>0.28999999999999998</x:v>
      </x:c>
      <x:c r="J172" s="44">
        <x:v>0.04</x:v>
      </x:c>
      <x:c r="K172" s="39" t="s">
        <x:v>23</x:v>
      </x:c>
      <x:c r="L172" s="44">
        <x:v>3.6000000000000004E-2</x:v>
      </x:c>
      <x:c r="M172" s="44">
        <x:v>7.2000000000000005E-4</x:v>
      </x:c>
      <x:c r="N172" s="44">
        <x:v>3.5280000000000006E-2</x:v>
      </x:c>
    </x:row>
    <x:row r="173">
      <x:c r="A173" s="39" t="s">
        <x:v>15</x:v>
      </x:c>
      <x:c r="B173" s="39" t="s">
        <x:v>16</x:v>
      </x:c>
      <x:c r="C173" s="39" t="s">
        <x:v>297</x:v>
      </x:c>
      <x:c r="D173" s="39" t="s">
        <x:v>298</x:v>
      </x:c>
      <x:c r="E173" s="39" t="s">
        <x:v>81</x:v>
      </x:c>
      <x:c r="F173" s="39" t="s">
        <x:v>20</x:v>
      </x:c>
      <x:c r="G173" s="39" t="s">
        <x:v>33</x:v>
      </x:c>
      <x:c r="H173" s="39" t="s">
        <x:v>111</x:v>
      </x:c>
      <x:c r="I173" s="44">
        <x:v>27.2</x:v>
      </x:c>
      <x:c r="J173" s="44">
        <x:v>4.9000000000000004</x:v>
      </x:c>
      <x:c r="K173" s="39" t="s">
        <x:v>23</x:v>
      </x:c>
      <x:c r="L173" s="44">
        <x:v>4.41</x:v>
      </x:c>
      <x:c r="M173" s="44">
        <x:v>8.8200000000000001E-2</x:v>
      </x:c>
      <x:c r="N173" s="44">
        <x:v>4.3218000000000005</x:v>
      </x:c>
    </x:row>
    <x:row r="174">
      <x:c r="A174" s="39" t="s">
        <x:v>15</x:v>
      </x:c>
      <x:c r="B174" s="39" t="s">
        <x:v>16</x:v>
      </x:c>
      <x:c r="C174" s="39" t="s">
        <x:v>299</x:v>
      </x:c>
      <x:c r="D174" s="39" t="s">
        <x:v>298</x:v>
      </x:c>
      <x:c r="E174" s="39" t="s">
        <x:v>81</x:v>
      </x:c>
      <x:c r="F174" s="39" t="s">
        <x:v>20</x:v>
      </x:c>
      <x:c r="G174" s="39" t="s">
        <x:v>33</x:v>
      </x:c>
      <x:c r="H174" s="39" t="s">
        <x:v>111</x:v>
      </x:c>
      <x:c r="I174" s="44">
        <x:v>21.32</x:v>
      </x:c>
      <x:c r="J174" s="44">
        <x:v>3.84</x:v>
      </x:c>
      <x:c r="K174" s="39" t="s">
        <x:v>23</x:v>
      </x:c>
      <x:c r="L174" s="44">
        <x:v>3.456</x:v>
      </x:c>
      <x:c r="M174" s="44">
        <x:v>6.9120000000000001E-2</x:v>
      </x:c>
      <x:c r="N174" s="44">
        <x:v>3.3868800000000001</x:v>
      </x:c>
    </x:row>
    <x:row r="175">
      <x:c r="A175" s="39" t="s">
        <x:v>15</x:v>
      </x:c>
      <x:c r="B175" s="39" t="s">
        <x:v>16</x:v>
      </x:c>
      <x:c r="C175" s="39" t="s">
        <x:v>300</x:v>
      </x:c>
      <x:c r="D175" s="39" t="s">
        <x:v>301</x:v>
      </x:c>
      <x:c r="E175" s="39" t="s">
        <x:v>81</x:v>
      </x:c>
      <x:c r="F175" s="39" t="s">
        <x:v>110</x:v>
      </x:c>
      <x:c r="G175" s="39" t="s">
        <x:v>33</x:v>
      </x:c>
      <x:c r="H175" s="39" t="s">
        <x:v>111</x:v>
      </x:c>
      <x:c r="I175" s="44">
        <x:v>72.13</x:v>
      </x:c>
      <x:c r="J175" s="44">
        <x:v>12.98</x:v>
      </x:c>
      <x:c r="K175" s="39" t="s">
        <x:v>23</x:v>
      </x:c>
      <x:c r="L175" s="44">
        <x:v>11.682</x:v>
      </x:c>
      <x:c r="M175" s="44">
        <x:v>0.23364000000000001</x:v>
      </x:c>
      <x:c r="N175" s="44">
        <x:v>11.448360000000001</x:v>
      </x:c>
    </x:row>
    <x:row r="176">
      <x:c r="A176" s="39" t="s">
        <x:v>15</x:v>
      </x:c>
      <x:c r="B176" s="39" t="s">
        <x:v>16</x:v>
      </x:c>
      <x:c r="C176" s="39" t="s">
        <x:v>302</x:v>
      </x:c>
      <x:c r="D176" s="39" t="s">
        <x:v>303</x:v>
      </x:c>
      <x:c r="E176" s="39" t="s">
        <x:v>84</x:v>
      </x:c>
      <x:c r="F176" s="39" t="s">
        <x:v>110</x:v>
      </x:c>
      <x:c r="G176" s="39" t="s">
        <x:v>33</x:v>
      </x:c>
      <x:c r="H176" s="39" t="s">
        <x:v>111</x:v>
      </x:c>
      <x:c r="I176" s="44">
        <x:v>66.44</x:v>
      </x:c>
      <x:c r="J176" s="44">
        <x:v>13.96</x:v>
      </x:c>
      <x:c r="K176" s="39" t="s">
        <x:v>23</x:v>
      </x:c>
      <x:c r="L176" s="44">
        <x:v>12.564000000000002</x:v>
      </x:c>
      <x:c r="M176" s="44">
        <x:v>0.25128000000000006</x:v>
      </x:c>
      <x:c r="N176" s="44">
        <x:v>12.312720000000002</x:v>
      </x:c>
    </x:row>
    <x:row r="177">
      <x:c r="A177" s="39" t="s">
        <x:v>15</x:v>
      </x:c>
      <x:c r="B177" s="39" t="s">
        <x:v>16</x:v>
      </x:c>
      <x:c r="C177" s="39" t="s">
        <x:v>304</x:v>
      </x:c>
      <x:c r="D177" s="39" t="s">
        <x:v>305</x:v>
      </x:c>
      <x:c r="E177" s="39" t="s">
        <x:v>96</x:v>
      </x:c>
      <x:c r="F177" s="39" t="s">
        <x:v>20</x:v>
      </x:c>
      <x:c r="G177" s="39" t="s">
        <x:v>33</x:v>
      </x:c>
      <x:c r="H177" s="39" t="s">
        <x:v>111</x:v>
      </x:c>
      <x:c r="I177" s="44">
        <x:v>83.02</x:v>
      </x:c>
      <x:c r="J177" s="44">
        <x:v>10.79</x:v>
      </x:c>
      <x:c r="K177" s="39" t="s">
        <x:v>23</x:v>
      </x:c>
      <x:c r="L177" s="44">
        <x:v>9.7110000000000003</x:v>
      </x:c>
      <x:c r="M177" s="44">
        <x:v>0.19422</x:v>
      </x:c>
      <x:c r="N177" s="44">
        <x:v>9.5167800000000007</x:v>
      </x:c>
    </x:row>
    <x:row r="178">
      <x:c r="A178" s="39" t="s">
        <x:v>15</x:v>
      </x:c>
      <x:c r="B178" s="39" t="s">
        <x:v>16</x:v>
      </x:c>
      <x:c r="C178" s="39" t="s">
        <x:v>304</x:v>
      </x:c>
      <x:c r="D178" s="39" t="s">
        <x:v>97</x:v>
      </x:c>
      <x:c r="E178" s="39" t="s">
        <x:v>96</x:v>
      </x:c>
      <x:c r="F178" s="39" t="s">
        <x:v>20</x:v>
      </x:c>
      <x:c r="G178" s="39" t="s">
        <x:v>33</x:v>
      </x:c>
      <x:c r="H178" s="39" t="s">
        <x:v>111</x:v>
      </x:c>
      <x:c r="I178" s="44">
        <x:v>8.2200000000000006</x:v>
      </x:c>
      <x:c r="J178" s="44">
        <x:v>1.07</x:v>
      </x:c>
      <x:c r="K178" s="39" t="s">
        <x:v>23</x:v>
      </x:c>
      <x:c r="L178" s="44">
        <x:v>0.96300000000000008</x:v>
      </x:c>
      <x:c r="M178" s="44">
        <x:v>1.9260000000000003E-2</x:v>
      </x:c>
      <x:c r="N178" s="44">
        <x:v>0.94374000000000002</x:v>
      </x:c>
    </x:row>
    <x:row r="179">
      <x:c r="J179" s="50" t="s">
        <x:v>102</x:v>
      </x:c>
      <x:c r="K179" s="50"/>
      <x:c r="L179" s="50" t="n">
        <x:f>SUM(L63:L178)</x:f>
        <x:v>10258.587</x:v>
      </x:c>
      <x:c r="M179" s="50"/>
      <x:c r="N179" s="50"/>
    </x:row>
    <x:row r="180">
      <x:c r="J180" s="50" t="s">
        <x:v>103</x:v>
      </x:c>
      <x:c r="K180" s="50"/>
      <x:c r="L180" s="50" t="n">
        <x:f>+L179*13%</x:f>
        <x:v>1333.6163099999999</x:v>
      </x:c>
      <x:c r="M180" s="50"/>
      <x:c r="N180" s="50"/>
    </x:row>
    <x:row r="181">
      <x:c r="J181" s="51" t="s">
        <x:v>104</x:v>
      </x:c>
      <x:c r="K181" s="51"/>
      <x:c r="L181" s="51" t="n">
        <x:f>+L179+L180</x:f>
        <x:v>11592.203309999999</x:v>
      </x:c>
      <x:c r="M181" s="51"/>
      <x:c r="N181" s="51"/>
    </x:row>
    <x:row r="182">
      <x:c r="J182" s="50" t="s">
        <x:v>105</x:v>
      </x:c>
      <x:c r="K182" s="50"/>
      <x:c r="L182" s="50" t="n">
        <x:f>+L179*2%</x:f>
        <x:v>205.17174</x:v>
      </x:c>
      <x:c r="M182" s="50"/>
      <x:c r="N182" s="50"/>
    </x:row>
    <x:row r="183">
      <x:c r="J183" s="50" t="s">
        <x:v>106</x:v>
      </x:c>
      <x:c r="K183" s="50"/>
      <x:c r="L183" s="50" t="n">
        <x:f>+L181-L182</x:f>
        <x:v>11387.03157</x:v>
      </x:c>
      <x:c r="M183" s="50"/>
      <x:c r="N183" s="50"/>
    </x:row>
  </x:sheetData>
  <x:mergeCells>
    <x:mergeCell ref="J183:K183"/>
    <x:mergeCell ref="L183:N183"/>
    <x:mergeCell ref="J57:K57"/>
    <x:mergeCell ref="L57:N57"/>
    <x:mergeCell ref="J58:K58"/>
    <x:mergeCell ref="L58:N58"/>
    <x:mergeCell ref="J59:K59"/>
    <x:mergeCell ref="L59:N59"/>
    <x:mergeCell ref="J180:K180"/>
    <x:mergeCell ref="L180:N180"/>
    <x:mergeCell ref="J181:K181"/>
    <x:mergeCell ref="L181:N181"/>
    <x:mergeCell ref="J182:K182"/>
    <x:mergeCell ref="L182:N182"/>
    <x:mergeCell ref="J55:K55"/>
    <x:mergeCell ref="L55:N55"/>
    <x:mergeCell ref="J56:K56"/>
    <x:mergeCell ref="L56:N56"/>
    <x:mergeCell ref="J179:K179"/>
    <x:mergeCell ref="L179:N17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1.44140625" defaultRowHeight="14.399999618530273"/>
  <x:cols>
    <x:col min="5" max="5" width="19.6640625" customWidth="1"/>
    <x:col min="6" max="6" width="15.88671875" customWidth="1"/>
    <x:col min="7" max="7" width="12.5546875" customWidth="1"/>
    <x:col min="8" max="8" width="15.88671875" customWidth="1"/>
    <x:col min="11" max="11" width="31.6640625" customWidth="1"/>
    <x:col min="12" max="12" width="13.44140625" customWidth="1"/>
  </x:cols>
  <x:sheetData>
    <x:row r="4">
      <x:c r="B4" s="55" t="s">
        <x:v>306</x:v>
      </x:c>
      <x:c r="C4" s="56"/>
      <x:c r="D4" s="56"/>
      <x:c r="E4" s="56"/>
      <x:c r="F4" s="57"/>
      <x:c r="H4" s="55" t="str">
        <x:f>+B4</x:f>
        <x:v>RESUMEN DE PAGOS - IQ Julio</x:v>
      </x:c>
      <x:c r="I4" s="56"/>
      <x:c r="J4" s="56"/>
      <x:c r="K4" s="56"/>
      <x:c r="L4" s="57"/>
    </x:row>
    <x:row r="5">
      <x:c r="B5" s="58"/>
      <x:c r="C5" s="59"/>
      <x:c r="D5" s="59"/>
      <x:c r="E5" s="59"/>
      <x:c r="F5" s="60"/>
      <x:c r="H5" s="58"/>
      <x:c r="I5" s="59"/>
      <x:c r="J5" s="59"/>
      <x:c r="K5" s="59"/>
      <x:c r="L5" s="60"/>
    </x:row>
    <x:row r="6">
      <x:c r="B6" s="61" t="s">
        <x:v>307</x:v>
      </x:c>
      <x:c r="C6" s="63"/>
      <x:c r="D6" s="62"/>
      <x:c r="E6" s="61" t="s">
        <x:v>308</x:v>
      </x:c>
      <x:c r="F6" s="62"/>
      <x:c r="H6" s="61" t="s">
        <x:v>307</x:v>
      </x:c>
      <x:c r="I6" s="63"/>
      <x:c r="J6" s="62"/>
      <x:c r="K6" s="61" t="s">
        <x:v>309</x:v>
      </x:c>
      <x:c r="L6" s="62"/>
    </x:row>
    <x:row r="7">
      <x:c r="B7" s="52" t="s">
        <x:v>310</x:v>
      </x:c>
      <x:c r="C7" s="52"/>
      <x:c r="D7" s="52"/>
      <x:c r="E7" s="1" t="s">
        <x:v>102</x:v>
      </x:c>
      <x:c r="F7" s="2" t="n">
        <x:f>Detalle!L55</x:f>
        <x:v>381710.6550000002</x:v>
      </x:c>
      <x:c r="H7" s="52" t="s">
        <x:v>310</x:v>
      </x:c>
      <x:c r="I7" s="52"/>
      <x:c r="J7" s="52"/>
      <x:c r="K7" s="1" t="s">
        <x:v>102</x:v>
      </x:c>
      <x:c r="L7" s="2" t="n">
        <x:f>Detalle!L179</x:f>
        <x:v>10258.587</x:v>
      </x:c>
    </x:row>
    <x:row r="8">
      <x:c r="B8" s="53"/>
      <x:c r="C8" s="53"/>
      <x:c r="D8" s="53"/>
      <x:c r="E8" s="3" t="s">
        <x:v>311</x:v>
      </x:c>
      <x:c r="F8" s="4" t="n">
        <x:f>F7</x:f>
        <x:v>381710.6550000002</x:v>
      </x:c>
      <x:c r="H8" s="53"/>
      <x:c r="I8" s="53"/>
      <x:c r="J8" s="53"/>
      <x:c r="K8" s="3" t="s">
        <x:v>312</x:v>
      </x:c>
      <x:c r="L8" s="4" t="n">
        <x:f>REBAJO!D12</x:f>
        <x:v>3953.8896388888884</x:v>
      </x:c>
      <x:c r="M8" s="5"/>
    </x:row>
    <x:row r="9">
      <x:c r="B9" s="53"/>
      <x:c r="C9" s="53"/>
      <x:c r="D9" s="53"/>
      <x:c r="E9" t="s">
        <x:v>313</x:v>
      </x:c>
      <x:c r="F9" s="2" t="n">
        <x:f>+F7-F8</x:f>
        <x:v>0</x:v>
      </x:c>
      <x:c r="H9" s="53"/>
      <x:c r="I9" s="53"/>
      <x:c r="J9" s="53"/>
      <x:c r="K9" s="3" t="s">
        <x:v>314</x:v>
      </x:c>
      <x:c r="L9" s="45" t="n">
        <x:f>50000/452.51</x:f>
        <x:v>110.49479569512276</x:v>
      </x:c>
      <x:c r="N9" s="5"/>
    </x:row>
    <x:row r="10">
      <x:c r="B10" s="53"/>
      <x:c r="C10" s="53"/>
      <x:c r="D10" s="53"/>
      <x:c r="E10" s="1" t="s">
        <x:v>103</x:v>
      </x:c>
      <x:c r="F10" s="2" t="n">
        <x:f>+F9*13%</x:f>
        <x:v>0</x:v>
      </x:c>
      <x:c r="H10" s="53"/>
      <x:c r="I10" s="53"/>
      <x:c r="J10" s="53"/>
      <x:c r="K10" s="46" t="s">
        <x:v>315</x:v>
      </x:c>
      <x:c r="L10" s="43" t="n">
        <x:f>L7-L8-L9</x:f>
        <x:v>6194.202565415989</x:v>
      </x:c>
    </x:row>
    <x:row r="11">
      <x:c r="B11" s="53"/>
      <x:c r="C11" s="53"/>
      <x:c r="D11" s="53"/>
      <x:c r="E11" s="3" t="s">
        <x:v>104</x:v>
      </x:c>
      <x:c r="F11" s="4" t="n">
        <x:f>+F9+F10</x:f>
        <x:v>0</x:v>
      </x:c>
      <x:c r="H11" s="53"/>
      <x:c r="I11" s="53"/>
      <x:c r="J11" s="53"/>
      <x:c r="K11" s="1" t="s">
        <x:v>103</x:v>
      </x:c>
      <x:c r="L11" s="2" t="n">
        <x:f>+L10*13%</x:f>
        <x:v>805.2463335040786</x:v>
      </x:c>
    </x:row>
    <x:row r="12">
      <x:c r="B12" s="53"/>
      <x:c r="C12" s="53"/>
      <x:c r="D12" s="53"/>
      <x:c r="E12" s="1" t="s">
        <x:v>105</x:v>
      </x:c>
      <x:c r="F12" s="2" t="n">
        <x:f>+F9*2%</x:f>
        <x:v>0</x:v>
      </x:c>
      <x:c r="H12" s="53"/>
      <x:c r="I12" s="53"/>
      <x:c r="J12" s="53"/>
      <x:c r="K12" s="3" t="s">
        <x:v>104</x:v>
      </x:c>
      <x:c r="L12" s="4" t="n">
        <x:f>+L10+L11</x:f>
        <x:v>6999.448898920067</x:v>
      </x:c>
    </x:row>
    <x:row r="13">
      <x:c r="B13" s="54"/>
      <x:c r="C13" s="54"/>
      <x:c r="D13" s="54"/>
      <x:c r="E13" s="6" t="s">
        <x:v>106</x:v>
      </x:c>
      <x:c r="F13" s="2" t="n">
        <x:f>+F11-F12</x:f>
        <x:v>0</x:v>
      </x:c>
      <x:c r="H13" s="53"/>
      <x:c r="I13" s="53"/>
      <x:c r="J13" s="53"/>
      <x:c r="K13" s="1" t="s">
        <x:v>105</x:v>
      </x:c>
      <x:c r="L13" s="2" t="n">
        <x:f>+L10*2%</x:f>
        <x:v>123.88405130831978</x:v>
      </x:c>
      <x:c r="N13" s="5"/>
      <x:c r="O13" s="5"/>
    </x:row>
    <x:row r="14">
      <x:c r="F14" s="5"/>
      <x:c r="H14" s="53"/>
      <x:c r="I14" s="53"/>
      <x:c r="J14" s="53"/>
      <x:c r="K14" s="6" t="s">
        <x:v>106</x:v>
      </x:c>
      <x:c r="L14" s="2" t="n">
        <x:f>+L12-L13</x:f>
        <x:v>6875.564847611748</x:v>
      </x:c>
    </x:row>
    <x:row r="17">
      <x:c r="J17" s="7"/>
    </x:row>
    <x:row r="18">
      <x:c r="K18" s="5"/>
      <x:c r="L18" s="8"/>
    </x:row>
    <x:row r="19">
      <x:c r="J19" s="5"/>
      <x:c r="K19" s="5"/>
      <x:c r="L19" s="8"/>
    </x:row>
    <x:row r="20">
      <x:c r="C20" s="5"/>
      <x:c r="E20" s="5"/>
      <x:c r="J20" s="5"/>
      <x:c r="K20" s="5"/>
      <x:c r="L20" s="29"/>
    </x:row>
    <x:row r="21">
      <x:c r="E21" s="5"/>
    </x:row>
    <x:row r="22">
      <x:c r="C22" s="5"/>
      <x:c r="K22" s="8"/>
    </x:row>
    <x:row r="24">
      <x:c r="C24" s="5"/>
    </x:row>
  </x:sheetData>
  <x:mergeCells>
    <x:mergeCell ref="B7:D13"/>
    <x:mergeCell ref="B4:F5"/>
    <x:mergeCell ref="H4:L5"/>
    <x:mergeCell ref="E6:F6"/>
    <x:mergeCell ref="B6:D6"/>
    <x:mergeCell ref="H6:J6"/>
    <x:mergeCell ref="K6:L6"/>
    <x:mergeCell ref="H7:J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109375" defaultRowHeight="14.399999618530273"/>
  <x:cols>
    <x:col min="1" max="1" width="16.88671875" customWidth="1"/>
    <x:col min="2" max="2" width="28" customWidth="1"/>
    <x:col min="3" max="3" width="25.109375" customWidth="1"/>
    <x:col min="4" max="4" width="14.33203125" customWidth="1"/>
    <x:col min="5" max="5" width="19.5546875" customWidth="1"/>
    <x:col min="6" max="6" width="15" customWidth="1"/>
    <x:col min="7" max="7" width="19.33203125" customWidth="1"/>
    <x:col min="8" max="8" width="13.44140625" customWidth="1"/>
    <x:col min="9" max="9" width="13.33203125" customWidth="1"/>
    <x:col min="10" max="10" width="13.109375" customWidth="1"/>
    <x:col min="11" max="11" width="13.33203125" customWidth="1"/>
    <x:col min="12" max="12" width="13.109375" customWidth="1"/>
    <x:col min="13" max="13" width="8.5546875" customWidth="1"/>
    <x:col min="14" max="14" width="52.6640625" customWidth="1"/>
  </x:cols>
  <x:sheetData>
    <x:row r="1">
      <x:c r="A1" s="47" t="s">
        <x:v>316</x:v>
      </x:c>
      <x:c r="B1" s="48"/>
      <x:c r="C1" s="48"/>
      <x:c r="D1" s="48"/>
      <x:c r="E1" s="49"/>
      <x:c r="F1" t="n">
        <x:v>460</x:v>
      </x:c>
      <x:c r="G1" t="str">
        <x:v>TC FIJO</x:v>
      </x:c>
    </x:row>
    <x:row r="2">
      <x:c r="A2" s="16"/>
      <x:c r="B2" s="17"/>
      <x:c r="C2" s="19" t="s">
        <x:v>317</x:v>
      </x:c>
      <x:c r="D2" s="19" t="s">
        <x:v>318</x:v>
      </x:c>
      <x:c r="E2" s="18"/>
    </x:row>
    <x:row r="3">
      <x:c r="A3" s="15"/>
      <x:c r="B3" s="15" t="str">
        <x:f>+A17</x:f>
        <x:v>JOSELYN ARAYA</x:v>
      </x:c>
      <x:c r="C3" s="5" t="n">
        <x:f t="shared" ref="C3:D5" si="0">+I17</x:f>
        <x:v>1231048.888888889</x:v>
      </x:c>
      <x:c r="D3" s="5" t="n">
        <x:f>+J17</x:f>
        <x:v>615524.4444444445</x:v>
      </x:c>
    </x:row>
    <x:row r="4">
      <x:c r="A4" s="15"/>
      <x:c r="B4" s="15" t="str">
        <x:f>+A18</x:f>
        <x:v>CRISTINA</x:v>
      </x:c>
      <x:c r="C4" s="5">
        <x:f t="shared" si="0"/>
        <x:v>1323377.5555555557</x:v>
      </x:c>
      <x:c r="D4" s="5">
        <x:f t="shared" si="0"/>
        <x:v>661688.77777777787</x:v>
      </x:c>
    </x:row>
    <x:row r="5">
      <x:c r="A5" s="15"/>
      <x:c r="B5" s="15" t="s">
        <x:v>319</x:v>
      </x:c>
      <x:c r="C5" s="5">
        <x:f t="shared" si="0"/>
        <x:v>1846573.3333333335</x:v>
      </x:c>
      <x:c r="D5" s="5">
        <x:f t="shared" si="0"/>
        <x:v>923286.66666666674</x:v>
      </x:c>
    </x:row>
    <x:row r="6">
      <x:c r="B6" s="19" t="s">
        <x:v>320</x:v>
      </x:c>
      <x:c r="C6" s="20"/>
      <x:c r="D6" s="25" t="n">
        <x:f>SUM(D3:D5)</x:f>
        <x:v>2200499.888888889</x:v>
      </x:c>
      <x:c r="E6" s="20"/>
    </x:row>
    <x:row r="7">
      <x:c r="B7" s="31" t="s">
        <x:v>321</x:v>
      </x:c>
      <x:c r="C7" s="32"/>
      <x:c r="D7" s="33"/>
      <x:c r="E7" s="32"/>
    </x:row>
    <x:row r="8">
      <x:c r="B8" s="31" t="s">
        <x:v>322</x:v>
      </x:c>
      <x:c r="C8" s="32"/>
      <x:c r="D8" s="33" t="n">
        <x:f>+D6-D7</x:f>
        <x:v>2200499.888888889</x:v>
      </x:c>
      <x:c r="E8" s="32"/>
      <x:c r="G8" s="27"/>
      <x:c r="H8" s="28"/>
      <x:c r="I8" s="26"/>
    </x:row>
    <x:row r="9">
      <x:c r="B9" s="31" t="s">
        <x:v>323</x:v>
      </x:c>
      <x:c r="C9" s="32"/>
      <x:c r="D9" s="34" t="n">
        <x:f>+D8/F1</x:f>
        <x:v>4783.69541062802</x:v>
      </x:c>
      <x:c r="E9" s="32"/>
    </x:row>
    <x:row r="10">
      <x:c r="B10" s="31" t="s">
        <x:v>324</x:v>
      </x:c>
      <x:c r="C10" s="32"/>
      <x:c r="D10" s="35" t="n">
        <x:f>'Monto de factura'!F7</x:f>
        <x:v>381710.6550000002</x:v>
      </x:c>
      <x:c r="E10" s="32"/>
    </x:row>
    <x:row r="11">
      <x:c r="B11" s="31" t="s">
        <x:v>325</x:v>
      </x:c>
      <x:c r="C11" s="32"/>
      <x:c r="D11" s="35" t="n">
        <x:f>D8-D10</x:f>
        <x:v>1818789.2338888887</x:v>
      </x:c>
      <x:c r="E11" s="32"/>
      <x:c r="G11" s="27"/>
    </x:row>
    <x:row r="12">
      <x:c r="B12" s="36" t="s">
        <x:v>326</x:v>
      </x:c>
      <x:c r="C12" s="37"/>
      <x:c r="D12" s="38" t="n">
        <x:f>D11/F1</x:f>
        <x:v>3953.8896388888884</x:v>
      </x:c>
      <x:c r="E12" s="37"/>
    </x:row>
    <x:row r="13">
      <x:c r="B13" s="13"/>
      <x:c r="D13" s="26"/>
    </x:row>
    <x:row r="14">
      <x:c r="C14" s="15"/>
      <x:c r="E14" s="8"/>
      <x:c r="L14" s="13"/>
    </x:row>
    <x:row r="15">
      <x:c r="A15" s="21"/>
      <x:c r="B15" s="20"/>
      <x:c r="C15" s="22">
        <x:v>0.26669999999999999</x:v>
      </x:c>
      <x:c r="D15" s="23" t="n">
        <x:f>+D17/B17</x:f>
        <x:v>0.08333333333333334</x:v>
      </x:c>
      <x:c r="E15" s="22">
        <x:v>1.0999999999999999E-2</x:v>
      </x:c>
      <x:c r="F15" s="22" t="n">
        <x:f>+F17/B17</x:f>
        <x:v>0.03888888888888889</x:v>
      </x:c>
      <x:c r="G15" s="23" t="n">
        <x:f>+G17/B17</x:f>
        <x:v>0.08333333333333334</x:v>
      </x:c>
      <x:c r="H15" s="23" t="n">
        <x:f>+H17/B17</x:f>
        <x:v>0.05555555555555556</x:v>
      </x:c>
      <x:c r="I15" s="20"/>
      <x:c r="J15" s="20"/>
    </x:row>
    <x:row r="16">
      <x:c r="A16" s="21"/>
      <x:c r="B16" s="24" t="s">
        <x:v>327</x:v>
      </x:c>
      <x:c r="C16" s="24" t="s">
        <x:v>328</x:v>
      </x:c>
      <x:c r="D16" s="24" t="s">
        <x:v>329</x:v>
      </x:c>
      <x:c r="E16" s="24" t="s">
        <x:v>19</x:v>
      </x:c>
      <x:c r="F16" s="24" t="s">
        <x:v>330</x:v>
      </x:c>
      <x:c r="G16" s="24" t="s">
        <x:v>331</x:v>
      </x:c>
      <x:c r="H16" s="24" t="s">
        <x:v>332</x:v>
      </x:c>
      <x:c r="I16" s="24" t="s">
        <x:v>333</x:v>
      </x:c>
      <x:c r="J16" s="24" t="s">
        <x:v>334</x:v>
      </x:c>
    </x:row>
    <x:row r="17">
      <x:c r="A17" t="s">
        <x:v>335</x:v>
      </x:c>
      <x:c r="B17" s="8">
        <x:v>800000</x:v>
      </x:c>
      <x:c r="C17" s="8" t="n">
        <x:f>+B17*$C$15</x:f>
        <x:v>213360</x:v>
      </x:c>
      <x:c r="D17" s="8" t="n">
        <x:f>+B17/12</x:f>
        <x:v>66666.66666666667</x:v>
      </x:c>
      <x:c r="E17" s="8" t="n">
        <x:f>+B17*$E$15</x:f>
        <x:v>8800</x:v>
      </x:c>
      <x:c r="F17" s="8" t="n">
        <x:f>+((B17/30)*14)/12</x:f>
        <x:v>31111.111111111113</x:v>
      </x:c>
      <x:c r="G17" s="8" t="n">
        <x:f>+B17/12</x:f>
        <x:v>66666.66666666667</x:v>
      </x:c>
      <x:c r="H17" s="8" t="n">
        <x:f>+(B17/30*20)/12</x:f>
        <x:v>44444.444444444445</x:v>
      </x:c>
      <x:c r="I17" s="9" t="n">
        <x:f>SUM(B17:H17)</x:f>
        <x:v>1231048.888888889</x:v>
      </x:c>
      <x:c r="J17" s="14" t="n">
        <x:f>+I17/2</x:f>
        <x:v>615524.4444444445</x:v>
      </x:c>
    </x:row>
    <x:row r="18">
      <x:c r="A18" s="15" t="s">
        <x:v>336</x:v>
      </x:c>
      <x:c r="B18" s="8" t="n">
        <x:f>910000-50000</x:f>
        <x:v>860000</x:v>
      </x:c>
      <x:c r="C18" s="8" t="n">
        <x:f>+B18*$C$15</x:f>
        <x:v>229362</x:v>
      </x:c>
      <x:c r="D18" s="8" t="n">
        <x:f>+B18/12</x:f>
        <x:v>71666.66666666667</x:v>
      </x:c>
      <x:c r="E18" s="8" t="n">
        <x:f>+B18*$E$15</x:f>
        <x:v>9460</x:v>
      </x:c>
      <x:c r="F18" s="8" t="n">
        <x:f>+((B18/30)*14)/12</x:f>
        <x:v>33444.444444444445</x:v>
      </x:c>
      <x:c r="G18" s="8" t="n">
        <x:f>+B18/12</x:f>
        <x:v>71666.66666666667</x:v>
      </x:c>
      <x:c r="H18" s="8" t="n">
        <x:f>+(B18/30*20)/12</x:f>
        <x:v>47777.77777777778</x:v>
      </x:c>
      <x:c r="I18" s="9" t="n">
        <x:f>SUM(B18:H18)</x:f>
        <x:v>1323377.5555555557</x:v>
      </x:c>
      <x:c r="J18" s="14" t="n">
        <x:f>+I18/2</x:f>
        <x:v>661688.7777777779</x:v>
      </x:c>
    </x:row>
    <x:row r="19">
      <x:c r="A19" s="15" t="s">
        <x:v>319</x:v>
      </x:c>
      <x:c r="B19" s="8">
        <x:v>1200000</x:v>
      </x:c>
      <x:c r="C19" s="8" t="n">
        <x:f>+B19*$C$15</x:f>
        <x:v>320040</x:v>
      </x:c>
      <x:c r="D19" s="8" t="n">
        <x:f>+B19/12</x:f>
        <x:v>100000</x:v>
      </x:c>
      <x:c r="E19" s="8" t="n">
        <x:f>+B19*$E$15</x:f>
        <x:v>13200</x:v>
      </x:c>
      <x:c r="F19" s="8" t="n">
        <x:f>+((B19/30)*14)/12</x:f>
        <x:v>46666.666666666664</x:v>
      </x:c>
      <x:c r="G19" s="8" t="n">
        <x:f>+B19/12</x:f>
        <x:v>100000</x:v>
      </x:c>
      <x:c r="H19" s="8" t="n">
        <x:f>+(B19/30*20)/12</x:f>
        <x:v>66666.66666666667</x:v>
      </x:c>
      <x:c r="I19" s="9" t="n">
        <x:f>SUM(B19:H19)</x:f>
        <x:v>1846573.3333333335</x:v>
      </x:c>
      <x:c r="J19" s="14" t="n">
        <x:f>+I19/2</x:f>
        <x:v>923286.6666666667</x:v>
      </x:c>
    </x:row>
    <x:row r="20">
      <x:c r="A20" s="15"/>
      <x:c r="B20" s="10" t="s">
        <x:v>337</x:v>
      </x:c>
      <x:c r="C20" s="10" t="s">
        <x:v>337</x:v>
      </x:c>
      <x:c r="D20" s="10" t="s">
        <x:v>337</x:v>
      </x:c>
      <x:c r="E20" s="10" t="s">
        <x:v>337</x:v>
      </x:c>
      <x:c r="F20" s="10" t="s">
        <x:v>338</x:v>
      </x:c>
      <x:c r="G20" s="10" t="s">
        <x:v>338</x:v>
      </x:c>
      <x:c r="H20" s="10" t="s">
        <x:v>338</x:v>
      </x:c>
    </x:row>
    <x:row r="21">
      <x:c r="A21" s="15"/>
      <x:c r="C21" s="8"/>
      <x:c r="D21" s="11"/>
    </x:row>
    <x:row r="22">
      <x:c r="A22" s="15"/>
      <x:c r="B22" s="9"/>
      <x:c r="D22" s="11"/>
      <x:c r="G22" s="8"/>
    </x:row>
    <x:row r="23">
      <x:c r="B23" s="8"/>
      <x:c r="C23" s="12" t="n">
        <x:f>SUM(C17:C21)</x:f>
        <x:v>762762</x:v>
      </x:c>
      <x:c r="E23" s="8"/>
      <x:c r="F23" s="8"/>
      <x:c r="G23" s="8"/>
    </x:row>
    <x:row r="24">
      <x:c r="B24" s="29"/>
      <x:c r="F24" s="9"/>
      <x:c r="G24" s="9"/>
    </x:row>
    <x:row r="25">
      <x:c r="A25" s="30"/>
      <x:c r="F25" s="9"/>
    </x:row>
    <x:row r="26">
      <x:c r="C26" s="29"/>
      <x:c r="I26" s="8"/>
      <x:c r="J26" s="29"/>
      <x:c r="K26" s="29"/>
    </x:row>
    <x:row r="27">
      <x:c r="C27" s="8"/>
    </x:row>
    <x:row r="28">
      <x:c r="C28" s="29"/>
    </x:row>
    <x:row r="29">
      <x:c r="C29" s="9"/>
    </x:row>
  </x:sheetData>
  <x:mergeCells>
    <x:mergeCell ref="A1:E1"/>
  </x:mergeCells>
  <x:pageMargins left="0.7" right="0.7" top="0.75" bottom="0.75" header="0.3" footer="0.3"/>
</x:worksheet>
</file>