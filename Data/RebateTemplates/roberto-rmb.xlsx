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ngieBermudez\Downloads\Reportes Aseguradoras\Reportes\Detalle corredores\"/>
    </mc:Choice>
  </mc:AlternateContent>
  <xr:revisionPtr revIDLastSave="0" documentId="13_ncr:1_{45FBD680-0D57-4062-ABB5-3BEDB436B2B3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Detalle" sheetId="1" r:id="rId1"/>
    <sheet name="Monto de factura" sheetId="2" r:id="rId2"/>
    <sheet name="REBAJO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" i="2" l="1"/>
  <c r="L13" i="2"/>
  <c r="L7" i="2"/>
  <c r="F7" i="2"/>
  <c r="L76" i="1"/>
  <c r="L79" i="1" s="1"/>
  <c r="L35" i="1"/>
  <c r="L38" i="1" s="1"/>
  <c r="D3" i="3"/>
  <c r="C3" i="3"/>
  <c r="B15" i="3"/>
  <c r="L36" i="1" l="1"/>
  <c r="L37" i="1"/>
  <c r="L39" i="1" s="1"/>
  <c r="L77" i="1"/>
  <c r="L78" i="1" s="1"/>
  <c r="L80" i="1" s="1"/>
  <c r="F8" i="2"/>
  <c r="D7" i="3"/>
  <c r="D6" i="3"/>
  <c r="D4" i="3"/>
  <c r="J15" i="3"/>
  <c r="C15" i="3"/>
  <c r="L9" i="2" l="1"/>
  <c r="L12" i="2" s="1"/>
  <c r="L8" i="2"/>
  <c r="L10" i="2"/>
  <c r="F10" i="2"/>
  <c r="F9" i="2"/>
  <c r="D15" i="3"/>
  <c r="C18" i="3"/>
  <c r="H15" i="3"/>
  <c r="G15" i="3"/>
  <c r="F15" i="3"/>
  <c r="E15" i="3"/>
  <c r="D8" i="3"/>
  <c r="D9" i="3" s="1"/>
  <c r="D10" i="3" s="1"/>
  <c r="F11" i="2" l="1"/>
  <c r="L11" i="2"/>
  <c r="I15" i="3"/>
  <c r="B3" i="3"/>
  <c r="H13" i="3"/>
  <c r="G13" i="3"/>
  <c r="F13" i="3"/>
  <c r="D13" i="3"/>
  <c r="H4" i="2" l="1"/>
</calcChain>
</file>

<file path=xl/sharedStrings.xml><?xml version="1.0" encoding="utf-8"?>
<sst xmlns="http://schemas.openxmlformats.org/spreadsheetml/2006/main" count="691" uniqueCount="194">
  <si>
    <t xml:space="preserve">Corredor </t>
  </si>
  <si>
    <t xml:space="preserve">Monto depositado </t>
  </si>
  <si>
    <t>Monto Factura</t>
  </si>
  <si>
    <t xml:space="preserve">COLONES </t>
  </si>
  <si>
    <t>Monto bruto comison</t>
  </si>
  <si>
    <t>I.V.A</t>
  </si>
  <si>
    <t>Retencion 2%</t>
  </si>
  <si>
    <t>Aseguradora</t>
  </si>
  <si>
    <t>Moneda</t>
  </si>
  <si>
    <t>Prima</t>
  </si>
  <si>
    <t>% Corredor</t>
  </si>
  <si>
    <t>Total Final</t>
  </si>
  <si>
    <t>DOLARES</t>
  </si>
  <si>
    <t>Código</t>
  </si>
  <si>
    <t>Observación</t>
  </si>
  <si>
    <t>Trans.</t>
  </si>
  <si>
    <t>Categoría</t>
  </si>
  <si>
    <t xml:space="preserve">ROBERTO MERINO </t>
  </si>
  <si>
    <t>ROBERTO MERINO</t>
  </si>
  <si>
    <t>Dólares</t>
  </si>
  <si>
    <t>RENO</t>
  </si>
  <si>
    <t>ASSA</t>
  </si>
  <si>
    <t>191</t>
  </si>
  <si>
    <t>Corredor</t>
  </si>
  <si>
    <t>Póliza</t>
  </si>
  <si>
    <t>Asegurado</t>
  </si>
  <si>
    <t>Comisión Bruta</t>
  </si>
  <si>
    <t>2%</t>
  </si>
  <si>
    <t>Roberto  Merino/RMB Brenes</t>
  </si>
  <si>
    <t>ABON</t>
  </si>
  <si>
    <t>187</t>
  </si>
  <si>
    <t xml:space="preserve">Roberto  Merino/RMB2 Brenes </t>
  </si>
  <si>
    <t>Seguros Personales</t>
  </si>
  <si>
    <t>Comisión Corredor</t>
  </si>
  <si>
    <t>QUALITAS</t>
  </si>
  <si>
    <t>Seguros Generales</t>
  </si>
  <si>
    <t>Colones</t>
  </si>
  <si>
    <t>INS</t>
  </si>
  <si>
    <t>EMIS</t>
  </si>
  <si>
    <t>MAPFRE</t>
  </si>
  <si>
    <t xml:space="preserve">MNK SEGUROS </t>
  </si>
  <si>
    <t>ACRE.COMIS.R.F.</t>
  </si>
  <si>
    <t>85.00</t>
  </si>
  <si>
    <t>90.00</t>
  </si>
  <si>
    <t>BMI</t>
  </si>
  <si>
    <t>LAFISE</t>
  </si>
  <si>
    <t>REBAJO QUINCENAL POR CONCEPTO DE PAGO DE SALARIOS</t>
  </si>
  <si>
    <t>TOTAL MENSUAL</t>
  </si>
  <si>
    <t>QUINCENAL</t>
  </si>
  <si>
    <t>TOTAL REBAJO QUINCENAL</t>
  </si>
  <si>
    <t xml:space="preserve">Monto a favor </t>
  </si>
  <si>
    <t>REBAJO EN COLONES</t>
  </si>
  <si>
    <t>REBAJO EN DOLARES</t>
  </si>
  <si>
    <t xml:space="preserve">TOTAL REBAJO </t>
  </si>
  <si>
    <t>MONTO EN DOLARES</t>
  </si>
  <si>
    <t>Salario</t>
  </si>
  <si>
    <t>CCSS</t>
  </si>
  <si>
    <t>Aguinaldo</t>
  </si>
  <si>
    <t>Vacaciones</t>
  </si>
  <si>
    <t>Preaviso</t>
  </si>
  <si>
    <t>Cesantía</t>
  </si>
  <si>
    <t>Total</t>
  </si>
  <si>
    <t>Fijo</t>
  </si>
  <si>
    <t>Estimado</t>
  </si>
  <si>
    <t>Yerika Vega</t>
  </si>
  <si>
    <t>Diferencia</t>
  </si>
  <si>
    <t>Quincenal</t>
  </si>
  <si>
    <t>Rebajo salario</t>
  </si>
  <si>
    <t>Monto a facturar:</t>
  </si>
  <si>
    <t>3022110100307</t>
  </si>
  <si>
    <t>ARROYO CHACON, JANDREY  LLEFREN</t>
  </si>
  <si>
    <t>2500778703</t>
  </si>
  <si>
    <t>JASON MICHAEL SCHNEIDER</t>
  </si>
  <si>
    <t>APTV-64983</t>
  </si>
  <si>
    <t>YESSMY YURIANA ROVIRA ARIAS</t>
  </si>
  <si>
    <t>9572577</t>
  </si>
  <si>
    <t>EMPRENDIMIENTOS  DINAMICOS DEL</t>
  </si>
  <si>
    <t>01-12-AUT-0065523-13</t>
  </si>
  <si>
    <t>JANKE . ANDREAS</t>
  </si>
  <si>
    <t>01-12-AUT-0085184-06</t>
  </si>
  <si>
    <t>MONGE BONILLA JORGE FRANCISCO</t>
  </si>
  <si>
    <t>01-12-AUT-0089377-05</t>
  </si>
  <si>
    <t>VARGAS HERNANDEZ LUIS ROBERTO</t>
  </si>
  <si>
    <t>01-12-AUT-0089378-05</t>
  </si>
  <si>
    <t>SEGURA ROMAN KATIA VANESSA</t>
  </si>
  <si>
    <t>01-12-AUT-0091159-04</t>
  </si>
  <si>
    <t>GARCIA NU?EZ WENDY</t>
  </si>
  <si>
    <t>01-12-AUT-0092255-04</t>
  </si>
  <si>
    <t>RAMIREZ SOLANO PABLO ANDRES</t>
  </si>
  <si>
    <t>01-12-AUT-0094285-03</t>
  </si>
  <si>
    <t>GOMEZ JIMENEZ ANDRES GERARDO</t>
  </si>
  <si>
    <t>01-12-RCG-0002787-04</t>
  </si>
  <si>
    <t>BELLANERO QUESADA ADRIAN RICAR</t>
  </si>
  <si>
    <t>AU-204813-37620-0</t>
  </si>
  <si>
    <t>ADAN LUIS CARMONA PEREZ</t>
  </si>
  <si>
    <t>AU-256679-31483-0</t>
  </si>
  <si>
    <t>ESTEBAN BRENES VEGA</t>
  </si>
  <si>
    <t>AU-271124-37548-0</t>
  </si>
  <si>
    <t>JEFFRIE GERARDO CAMPOS SALAS</t>
  </si>
  <si>
    <t>3022310107836</t>
  </si>
  <si>
    <t>ESQUIVEL MONTOYA, MILTON</t>
  </si>
  <si>
    <t>3022410111419</t>
  </si>
  <si>
    <t>GUIDO JIMÉNEZ, RONALD ANTONIO</t>
  </si>
  <si>
    <t>3022410112803</t>
  </si>
  <si>
    <t>GOMEZ SOLANO, IVON MARIA</t>
  </si>
  <si>
    <t>3022410113289</t>
  </si>
  <si>
    <t>MARTINEZ SANDI, BREYSSY</t>
  </si>
  <si>
    <t>3022510115980</t>
  </si>
  <si>
    <t>TARANTELA SOCIEDAD ANONIMA</t>
  </si>
  <si>
    <t>APTV-66206</t>
  </si>
  <si>
    <t>MARIELA FEOLI CAMPOS</t>
  </si>
  <si>
    <t>APTV-68670</t>
  </si>
  <si>
    <t>JOAQUIN JOSE SOLERA MORENO</t>
  </si>
  <si>
    <t>APTV-65670</t>
  </si>
  <si>
    <t>ALEXANDRA SONJA M BAIJOT</t>
  </si>
  <si>
    <t>APTV-65287</t>
  </si>
  <si>
    <t>OLMAN SAID SALAS ESPINOZA</t>
  </si>
  <si>
    <t>APTV-45147</t>
  </si>
  <si>
    <t>GOODMANSON KATHKEEEN MARY</t>
  </si>
  <si>
    <t>APTV-40929</t>
  </si>
  <si>
    <t>PABLO ANDRES RAMIREZ SOLANO</t>
  </si>
  <si>
    <t>APTV-65412</t>
  </si>
  <si>
    <t>RICHARD CAPLETT MORALES</t>
  </si>
  <si>
    <t>0160022511</t>
  </si>
  <si>
    <t>ALVARADO ALFARO CAROLINA</t>
  </si>
  <si>
    <t>0160020425</t>
  </si>
  <si>
    <t>RAMIREZ SOLANO MARIA AUXILIADORA</t>
  </si>
  <si>
    <t>0160028998</t>
  </si>
  <si>
    <t>MERINO BRENES ROBERTO</t>
  </si>
  <si>
    <t>70B2903</t>
  </si>
  <si>
    <t>VALVERDE, EDUARDO ANTONIO</t>
  </si>
  <si>
    <t>70B2399</t>
  </si>
  <si>
    <t>SABORIO MOLINA, DAVID</t>
  </si>
  <si>
    <t>70B2242</t>
  </si>
  <si>
    <t>ANDREOZZI, LUCIANA</t>
  </si>
  <si>
    <t>70B99</t>
  </si>
  <si>
    <t>BRENES VEGA, ESTEBAN</t>
  </si>
  <si>
    <t>70B1690</t>
  </si>
  <si>
    <t>TIPPIE, SHAY MARIE</t>
  </si>
  <si>
    <t>70B1574</t>
  </si>
  <si>
    <t>CABEZAS RODRIGUEZ, MARLEN</t>
  </si>
  <si>
    <t>70B1969</t>
  </si>
  <si>
    <t>ALVAREZ GUEVARA, ERNESTO</t>
  </si>
  <si>
    <t>70B4299</t>
  </si>
  <si>
    <t>VALENZUELA, FEDERICO</t>
  </si>
  <si>
    <t>70B997</t>
  </si>
  <si>
    <t>MULLINS, JOHN FRANCIS</t>
  </si>
  <si>
    <t>70B1783</t>
  </si>
  <si>
    <t>SABORIO CUBERO, ALEXANDRA</t>
  </si>
  <si>
    <t>70B2628</t>
  </si>
  <si>
    <t>CAVALLINI SOTO, GILBERTH</t>
  </si>
  <si>
    <t>60B360</t>
  </si>
  <si>
    <t>02B55607</t>
  </si>
  <si>
    <t>GUZMAN, ANDRES</t>
  </si>
  <si>
    <t>2500783158</t>
  </si>
  <si>
    <t>EZEQUIEL FERNANDO MARINONI</t>
  </si>
  <si>
    <t>2600791939</t>
  </si>
  <si>
    <t>DAYANA YOLETTE SUAREZ MARQUINA</t>
  </si>
  <si>
    <t>2300745745</t>
  </si>
  <si>
    <t>BRENT AMES MILLER</t>
  </si>
  <si>
    <t>2500784309</t>
  </si>
  <si>
    <t>JAVIERA PAZ JIMÉNEZ AEDO</t>
  </si>
  <si>
    <t>2500769982</t>
  </si>
  <si>
    <t>VALERIA MERINO MAYORGA</t>
  </si>
  <si>
    <t>2500770312</t>
  </si>
  <si>
    <t>FIORELLA MERINO MAYORGA</t>
  </si>
  <si>
    <t>02-09-AUT-0009579-00</t>
  </si>
  <si>
    <t>FERNANDEZ SOTO ANABELLE PATRIC</t>
  </si>
  <si>
    <t>02-12-AUT-0008465-00</t>
  </si>
  <si>
    <t>BIANCONI MICHAEL ANTHONY</t>
  </si>
  <si>
    <t>02-12-GFL-0000817-00</t>
  </si>
  <si>
    <t>HOEPKER MACAYA ROBERT ANTONIO</t>
  </si>
  <si>
    <t>IH-257358-4297-0</t>
  </si>
  <si>
    <t>ROBERT HEADRICK</t>
  </si>
  <si>
    <t>IH-257358-4298-0</t>
  </si>
  <si>
    <t>AU-291671-40169-0</t>
  </si>
  <si>
    <t>GREGORY II THEODORE</t>
  </si>
  <si>
    <t>2072300000062</t>
  </si>
  <si>
    <t>THOM , RANDALL ROBERT</t>
  </si>
  <si>
    <t>3022410113275</t>
  </si>
  <si>
    <t>WORRELL , KURT  ALAN</t>
  </si>
  <si>
    <t>INCH-5151</t>
  </si>
  <si>
    <t>SENDERO UNIVERSAL CINCO B LIMITADA</t>
  </si>
  <si>
    <t>INCH-4050</t>
  </si>
  <si>
    <t>3102869643 SOCIEDAD DE RESPONSABILIDAD LIMITADA</t>
  </si>
  <si>
    <t>INCH-5154</t>
  </si>
  <si>
    <t>ALMENDROS LOT NUMBER SIXTY NINE S.R.L</t>
  </si>
  <si>
    <t>0160025024</t>
  </si>
  <si>
    <t>FOUNTAINE  STEPHEN JAMES</t>
  </si>
  <si>
    <t>0160028540</t>
  </si>
  <si>
    <t>CENTINELA DEL PILAR S.A</t>
  </si>
  <si>
    <t>RESUMEN DE PAGOS -IQ Julio</t>
  </si>
  <si>
    <t>T.C 20/07/2026</t>
  </si>
  <si>
    <t>Rebajo poliza Mario julio-septiembre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</si>
</sst>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4" formatCode="_-&quot;₡&quot;* #,##0.00_-;\-&quot;₡&quot;* #,##0.00_-;_-&quot;₡&quot;* &quot;-&quot;??_-;_-@_-"/>
    <numFmt numFmtId="43" formatCode="_-* #,##0.00_-;\-* #,##0.00_-;_-* &quot;-&quot;??_-;_-@_-"/>
    <numFmt numFmtId="164" formatCode="_(&quot;$&quot;* #,##0.00_);_(&quot;$&quot;* \(#,##0.00\);_(&quot;$&quot;* &quot;-&quot;??_);_(@_)"/>
    <numFmt numFmtId="165" formatCode="_(* #,##0.00_);_(* \(#,##0.00\);_(* &quot;-&quot;??_);_(@_)"/>
    <numFmt numFmtId="166" formatCode="_(&quot; &quot;* #,##0.00_);_(&quot; &quot;* \(#,##0.00\);_(&quot; &quot;* &quot;-&quot;??_);_(@_)"/>
    <numFmt numFmtId="167" formatCode="_-* #,##0.00\ _€_-;\-* #,##0.00\ _€_-;_-* &quot;-&quot;??\ _€_-;_-@_-"/>
    <numFmt numFmtId="168" formatCode="_(&quot;₡&quot;* #,##0.00_);_(&quot;₡&quot;* \(#,##0.00\);_(&quot;₡&quot;* &quot;-&quot;??_);_(@_)"/>
    <numFmt numFmtId="169" formatCode="_-&quot;$&quot;* #,##0.00_-;\-&quot;$&quot;* #,##0.00_-;_-&quot;$&quot;* &quot;-&quot;??_-;_-@_-"/>
    <numFmt numFmtId="170" formatCode="_-[$₡-140A]* #,##0.00_-;\-[$₡-140A]* #,##0.00_-;_-[$₡-140A]* &quot;-&quot;??_-;_-@_-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color rgb="FF000000"/>
      <name val="Times New Roman"/>
      <family val="1"/>
    </font>
    <font>
      <sz val="11"/>
      <color theme="0"/>
      <name val="Calibri"/>
      <family val="2"/>
      <scheme val="minor"/>
    </font>
    <font>
      <sz val="10"/>
      <color indexed="8"/>
      <name val="Arial"/>
      <family val="2"/>
    </font>
    <font>
      <sz val="10"/>
      <color indexed="8"/>
      <name val="Arial"/>
      <family val="2"/>
    </font>
    <font>
      <sz val="11"/>
      <color rgb="FF000000"/>
      <name val="Calibri"/>
      <family val="2"/>
      <scheme val="minor"/>
    </font>
    <font>
      <sz val="11"/>
      <color theme="0"/>
      <name val="Aptos Narrow"/>
      <family val="2"/>
    </font>
    <font>
      <b/>
      <sz val="11"/>
      <color rgb="FFFFC000"/>
      <name val="Aptos Narrow"/>
      <family val="2"/>
    </font>
    <font>
      <b/>
      <sz val="11"/>
      <color theme="0"/>
      <name val="Calibri"/>
      <family val="2"/>
      <scheme val="minor"/>
    </font>
    <font>
      <b/>
      <sz val="11"/>
      <color rgb="FFFFFFFF"/>
      <name val="Aptos Narrow"/>
      <family val="2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3"/>
        <bgColor rgb="FF000000"/>
      </patternFill>
    </fill>
    <fill>
      <patternFill patternType="solid">
        <fgColor theme="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89">
    <xf numFmtId="0" fontId="0" fillId="0" borderId="0"/>
    <xf numFmtId="165" fontId="1" fillId="0" borderId="0" applyFont="0" applyFill="0" applyBorder="0" applyAlignment="0" applyProtection="0"/>
    <xf numFmtId="0" fontId="2" fillId="0" borderId="0"/>
    <xf numFmtId="167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0" fontId="2" fillId="0" borderId="0"/>
    <xf numFmtId="0" fontId="2" fillId="0" borderId="0"/>
    <xf numFmtId="0" fontId="1" fillId="0" borderId="0"/>
    <xf numFmtId="0" fontId="2" fillId="0" borderId="0"/>
    <xf numFmtId="0" fontId="2" fillId="0" borderId="0"/>
    <xf numFmtId="0" fontId="2" fillId="0" borderId="0"/>
    <xf numFmtId="168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3" fillId="0" borderId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7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9" fontId="1" fillId="0" borderId="0" applyFont="0" applyFill="0" applyBorder="0" applyAlignment="0" applyProtection="0"/>
    <xf numFmtId="167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5" fillId="0" borderId="0">
      <alignment vertical="top"/>
    </xf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1" fillId="0" borderId="0"/>
    <xf numFmtId="0" fontId="6" fillId="0" borderId="0">
      <alignment vertical="top"/>
    </xf>
    <xf numFmtId="9" fontId="6" fillId="0" borderId="0" applyFont="0" applyFill="0" applyBorder="0" applyAlignment="0" applyProtection="0">
      <alignment vertical="top"/>
    </xf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7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9" fontId="1" fillId="0" borderId="0" applyFont="0" applyFill="0" applyBorder="0" applyAlignment="0" applyProtection="0"/>
    <xf numFmtId="0" fontId="6" fillId="0" borderId="0">
      <alignment vertical="top"/>
    </xf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6" fillId="0" borderId="0">
      <alignment vertical="top"/>
    </xf>
    <xf numFmtId="168" fontId="1" fillId="0" borderId="0" applyFont="0" applyFill="0" applyBorder="0" applyAlignment="0" applyProtection="0"/>
    <xf numFmtId="0" fontId="7" fillId="0" borderId="0"/>
    <xf numFmtId="168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5" fillId="0" borderId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5" fillId="0" borderId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6" fillId="0" borderId="0">
      <alignment vertical="top"/>
    </xf>
    <xf numFmtId="43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6" fillId="0" borderId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9" fontId="6" fillId="0" borderId="0" applyFont="0" applyFill="0" applyBorder="0" applyAlignment="0" applyProtection="0">
      <alignment vertical="top"/>
    </xf>
    <xf numFmtId="0" fontId="6" fillId="0" borderId="0">
      <alignment vertical="top"/>
    </xf>
    <xf numFmtId="0" fontId="6" fillId="0" borderId="0">
      <alignment vertical="top"/>
    </xf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9" fontId="1" fillId="0" borderId="0" applyFont="0" applyFill="0" applyBorder="0" applyAlignment="0" applyProtection="0"/>
    <xf numFmtId="169" fontId="1" fillId="0" borderId="0" applyFont="0" applyFill="0" applyBorder="0" applyAlignment="0" applyProtection="0"/>
    <xf numFmtId="0" fontId="6" fillId="0" borderId="0">
      <alignment vertical="top"/>
    </xf>
    <xf numFmtId="0" fontId="5" fillId="0" borderId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5" fillId="0" borderId="0">
      <alignment vertical="top"/>
    </xf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6" fillId="0" borderId="0">
      <alignment vertical="top"/>
    </xf>
    <xf numFmtId="16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9" fontId="5" fillId="0" borderId="0" applyFont="0" applyFill="0" applyBorder="0" applyAlignment="0" applyProtection="0">
      <alignment vertical="top"/>
    </xf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5" fillId="0" borderId="0">
      <alignment vertical="top"/>
    </xf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5" fillId="0" borderId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5" fillId="0" borderId="0">
      <alignment vertical="top"/>
    </xf>
    <xf numFmtId="9" fontId="5" fillId="0" borderId="0" applyFont="0" applyFill="0" applyBorder="0" applyAlignment="0" applyProtection="0">
      <alignment vertical="top"/>
    </xf>
    <xf numFmtId="0" fontId="5" fillId="0" borderId="0">
      <alignment vertical="top"/>
    </xf>
    <xf numFmtId="0" fontId="5" fillId="0" borderId="0">
      <alignment vertical="top"/>
    </xf>
    <xf numFmtId="166" fontId="1" fillId="0" borderId="0" applyFont="0" applyFill="0" applyBorder="0" applyAlignment="0" applyProtection="0"/>
    <xf numFmtId="0" fontId="5" fillId="0" borderId="0">
      <alignment vertical="top"/>
    </xf>
    <xf numFmtId="0" fontId="5" fillId="0" borderId="0">
      <alignment vertical="top"/>
    </xf>
    <xf numFmtId="0" fontId="5" fillId="0" borderId="0">
      <alignment vertical="top"/>
    </xf>
    <xf numFmtId="43" fontId="1" fillId="0" borderId="0" applyFont="0" applyFill="0" applyBorder="0" applyAlignment="0" applyProtection="0"/>
  </cellStyleXfs>
  <cellXfs count="63">
    <xf numFmtId="0" fontId="0" fillId="0" borderId="0" xfId="0"/>
    <xf numFmtId="0" fontId="0" fillId="0" borderId="1" xfId="0" applyBorder="1"/>
    <xf numFmtId="4" fontId="0" fillId="0" borderId="1" xfId="0" applyNumberFormat="1" applyBorder="1"/>
    <xf numFmtId="0" fontId="0" fillId="2" borderId="1" xfId="0" applyFill="1" applyBorder="1"/>
    <xf numFmtId="4" fontId="0" fillId="2" borderId="1" xfId="0" applyNumberFormat="1" applyFill="1" applyBorder="1"/>
    <xf numFmtId="4" fontId="0" fillId="0" borderId="0" xfId="0" applyNumberFormat="1"/>
    <xf numFmtId="43" fontId="0" fillId="0" borderId="1" xfId="188" applyFont="1" applyBorder="1"/>
    <xf numFmtId="43" fontId="0" fillId="0" borderId="0" xfId="188" applyFont="1"/>
    <xf numFmtId="0" fontId="0" fillId="0" borderId="0" xfId="0" quotePrefix="1"/>
    <xf numFmtId="0" fontId="11" fillId="4" borderId="0" xfId="0" applyFont="1" applyFill="1" applyAlignment="1">
      <alignment vertical="center"/>
    </xf>
    <xf numFmtId="4" fontId="11" fillId="4" borderId="0" xfId="0" applyNumberFormat="1" applyFont="1" applyFill="1" applyAlignment="1">
      <alignment vertical="center"/>
    </xf>
    <xf numFmtId="4" fontId="10" fillId="5" borderId="0" xfId="0" applyNumberFormat="1" applyFont="1" applyFill="1"/>
    <xf numFmtId="0" fontId="12" fillId="0" borderId="0" xfId="0" applyFont="1"/>
    <xf numFmtId="170" fontId="0" fillId="0" borderId="0" xfId="0" applyNumberFormat="1"/>
    <xf numFmtId="0" fontId="0" fillId="6" borderId="0" xfId="0" applyFill="1"/>
    <xf numFmtId="0" fontId="0" fillId="0" borderId="0" xfId="0" applyAlignment="1">
      <alignment horizontal="center"/>
    </xf>
    <xf numFmtId="165" fontId="0" fillId="0" borderId="0" xfId="1" applyFont="1"/>
    <xf numFmtId="0" fontId="13" fillId="0" borderId="0" xfId="0" applyFont="1" applyAlignment="1">
      <alignment horizontal="center"/>
    </xf>
    <xf numFmtId="165" fontId="0" fillId="0" borderId="0" xfId="0" applyNumberFormat="1"/>
    <xf numFmtId="165" fontId="12" fillId="0" borderId="0" xfId="1" applyFont="1"/>
    <xf numFmtId="0" fontId="0" fillId="7" borderId="9" xfId="0" applyFill="1" applyBorder="1"/>
    <xf numFmtId="0" fontId="0" fillId="7" borderId="11" xfId="0" applyFill="1" applyBorder="1"/>
    <xf numFmtId="0" fontId="12" fillId="7" borderId="1" xfId="0" applyFont="1" applyFill="1" applyBorder="1"/>
    <xf numFmtId="0" fontId="0" fillId="7" borderId="10" xfId="0" applyFill="1" applyBorder="1"/>
    <xf numFmtId="0" fontId="0" fillId="7" borderId="1" xfId="0" applyFill="1" applyBorder="1"/>
    <xf numFmtId="4" fontId="0" fillId="7" borderId="1" xfId="0" applyNumberFormat="1" applyFill="1" applyBorder="1"/>
    <xf numFmtId="0" fontId="12" fillId="8" borderId="0" xfId="0" applyFont="1" applyFill="1"/>
    <xf numFmtId="0" fontId="0" fillId="8" borderId="0" xfId="0" applyFill="1"/>
    <xf numFmtId="165" fontId="0" fillId="8" borderId="0" xfId="0" applyNumberFormat="1" applyFill="1"/>
    <xf numFmtId="164" fontId="0" fillId="0" borderId="0" xfId="0" applyNumberFormat="1"/>
    <xf numFmtId="164" fontId="0" fillId="0" borderId="0" xfId="29" applyFont="1" applyFill="1"/>
    <xf numFmtId="0" fontId="12" fillId="8" borderId="7" xfId="0" applyFont="1" applyFill="1" applyBorder="1"/>
    <xf numFmtId="0" fontId="0" fillId="8" borderId="7" xfId="0" applyFill="1" applyBorder="1"/>
    <xf numFmtId="164" fontId="0" fillId="8" borderId="7" xfId="29" applyFont="1" applyFill="1" applyBorder="1"/>
    <xf numFmtId="170" fontId="0" fillId="8" borderId="0" xfId="29" applyNumberFormat="1" applyFont="1" applyFill="1"/>
    <xf numFmtId="0" fontId="12" fillId="6" borderId="0" xfId="0" applyFont="1" applyFill="1"/>
    <xf numFmtId="164" fontId="12" fillId="6" borderId="0" xfId="29" applyFont="1" applyFill="1"/>
    <xf numFmtId="0" fontId="0" fillId="7" borderId="1" xfId="0" applyFill="1" applyBorder="1" applyAlignment="1">
      <alignment horizontal="center"/>
    </xf>
    <xf numFmtId="10" fontId="0" fillId="7" borderId="1" xfId="0" applyNumberFormat="1" applyFill="1" applyBorder="1" applyAlignment="1">
      <alignment horizontal="center"/>
    </xf>
    <xf numFmtId="10" fontId="0" fillId="7" borderId="1" xfId="151" applyNumberFormat="1" applyFont="1" applyFill="1" applyBorder="1" applyAlignment="1">
      <alignment horizontal="center"/>
    </xf>
    <xf numFmtId="0" fontId="12" fillId="7" borderId="1" xfId="0" applyFont="1" applyFill="1" applyBorder="1" applyAlignment="1">
      <alignment horizontal="center"/>
    </xf>
    <xf numFmtId="10" fontId="0" fillId="0" borderId="0" xfId="151" applyNumberFormat="1" applyFont="1"/>
    <xf numFmtId="43" fontId="12" fillId="0" borderId="0" xfId="0" applyNumberFormat="1" applyFont="1"/>
    <xf numFmtId="167" fontId="12" fillId="0" borderId="0" xfId="0" applyNumberFormat="1" applyFont="1"/>
    <xf numFmtId="43" fontId="0" fillId="0" borderId="0" xfId="188" applyFont="1" applyFill="1"/>
    <xf numFmtId="4" fontId="8" fillId="5" borderId="0" xfId="0" applyNumberFormat="1" applyFont="1" applyFill="1" applyAlignment="1">
      <alignment horizontal="center"/>
    </xf>
    <xf numFmtId="4" fontId="9" fillId="5" borderId="0" xfId="0" applyNumberFormat="1" applyFont="1" applyFill="1" applyAlignment="1">
      <alignment horizontal="center"/>
    </xf>
    <xf numFmtId="0" fontId="4" fillId="3" borderId="3" xfId="0" quotePrefix="1" applyFont="1" applyFill="1" applyBorder="1" applyAlignment="1">
      <alignment horizontal="center" vertical="center"/>
    </xf>
    <xf numFmtId="0" fontId="4" fillId="3" borderId="4" xfId="0" quotePrefix="1" applyFont="1" applyFill="1" applyBorder="1" applyAlignment="1">
      <alignment horizontal="center" vertical="center"/>
    </xf>
    <xf numFmtId="0" fontId="4" fillId="3" borderId="0" xfId="0" quotePrefix="1" applyFont="1" applyFill="1" applyAlignment="1">
      <alignment horizontal="center" vertical="center"/>
    </xf>
    <xf numFmtId="0" fontId="4" fillId="3" borderId="5" xfId="0" quotePrefix="1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4" fillId="3" borderId="6" xfId="0" applyFont="1" applyFill="1" applyBorder="1" applyAlignment="1">
      <alignment horizontal="center"/>
    </xf>
    <xf numFmtId="0" fontId="4" fillId="3" borderId="7" xfId="0" applyFont="1" applyFill="1" applyBorder="1" applyAlignment="1">
      <alignment horizontal="center"/>
    </xf>
    <xf numFmtId="0" fontId="4" fillId="3" borderId="8" xfId="0" applyFont="1" applyFill="1" applyBorder="1" applyAlignment="1">
      <alignment horizontal="center"/>
    </xf>
    <xf numFmtId="0" fontId="4" fillId="3" borderId="9" xfId="0" applyFont="1" applyFill="1" applyBorder="1" applyAlignment="1">
      <alignment horizontal="center"/>
    </xf>
    <xf numFmtId="0" fontId="4" fillId="3" borderId="10" xfId="0" applyFont="1" applyFill="1" applyBorder="1" applyAlignment="1">
      <alignment horizontal="center"/>
    </xf>
    <xf numFmtId="0" fontId="4" fillId="3" borderId="11" xfId="0" applyFont="1" applyFill="1" applyBorder="1" applyAlignment="1">
      <alignment horizontal="center"/>
    </xf>
    <xf numFmtId="0" fontId="12" fillId="7" borderId="2" xfId="0" applyFont="1" applyFill="1" applyBorder="1" applyAlignment="1">
      <alignment horizontal="center"/>
    </xf>
    <xf numFmtId="0" fontId="12" fillId="7" borderId="3" xfId="0" applyFont="1" applyFill="1" applyBorder="1" applyAlignment="1">
      <alignment horizontal="center"/>
    </xf>
    <xf numFmtId="0" fontId="12" fillId="7" borderId="4" xfId="0" applyFont="1" applyFill="1" applyBorder="1" applyAlignment="1">
      <alignment horizontal="center"/>
    </xf>
  </cellXfs>
  <cellStyles count="189">
    <cellStyle name="Comma 2" xfId="17" xr:uid="{00000000-0005-0000-0000-00003F000000}"/>
    <cellStyle name="Comma 2 2" xfId="28" xr:uid="{CBE32086-F078-4CDB-9B9E-3CC3CC26A2E6}"/>
    <cellStyle name="Comma 2 2 2" xfId="68" xr:uid="{390C5ABD-96A7-463E-B97C-BE86AE74624F}"/>
    <cellStyle name="Comma 2 2 2 2" xfId="129" xr:uid="{CBF0C2E3-4866-4817-8536-E2F693689E74}"/>
    <cellStyle name="Comma 2 2 3" xfId="91" xr:uid="{0CFF62B3-4F4D-47C6-A5AE-10C5FC0373AD}"/>
    <cellStyle name="Comma 2 2 3 2" xfId="143" xr:uid="{1356CB29-B962-4AD2-9164-891DDB0461FD}"/>
    <cellStyle name="Comma 2 2 4" xfId="96" xr:uid="{829D8886-FC05-4CBD-B285-6E3AD5DC9009}"/>
    <cellStyle name="Comma 2 3" xfId="58" xr:uid="{0F6A0E54-4A20-44B2-98D9-890E257EBC41}"/>
    <cellStyle name="Comma 2 3 2" xfId="121" xr:uid="{E1CD6E9C-32A0-4F89-B5E8-D75C2498A584}"/>
    <cellStyle name="Comma 2 4" xfId="80" xr:uid="{642939DF-CBBA-45C6-858E-865EFC2BBB20}"/>
    <cellStyle name="Comma 2 4 2" xfId="134" xr:uid="{3601FFAB-144C-48C8-A06B-7DA8CDE3EC03}"/>
    <cellStyle name="Comma 2 5" xfId="95" xr:uid="{8D241B75-F572-4498-BC29-AED0CAC582C8}"/>
    <cellStyle name="Comma 3" xfId="18" xr:uid="{56D0F4F4-F05C-4B86-9D49-F29E8FB4C8E2}"/>
    <cellStyle name="Comma 3 2" xfId="27" xr:uid="{172895BC-0736-4CE5-94F7-5BF57B0BE1FB}"/>
    <cellStyle name="Comma 3 2 2" xfId="67" xr:uid="{8CAF064A-3F87-4B02-B357-4AC4AA2B2704}"/>
    <cellStyle name="Comma 3 2 2 2" xfId="128" xr:uid="{245CF767-4B1B-4235-A5F5-6E960A484DB3}"/>
    <cellStyle name="Comma 3 2 3" xfId="90" xr:uid="{5A037125-8FA3-45C4-B683-E9E436E25DC5}"/>
    <cellStyle name="Comma 3 2 3 2" xfId="142" xr:uid="{B5E30D13-F1FB-41D5-B3AA-DB22E8ADBCA7}"/>
    <cellStyle name="Comma 3 2 4" xfId="100" xr:uid="{F8D7105C-3218-4DD4-A3F1-2DFF7FC2E4C7}"/>
    <cellStyle name="Comma 3 3" xfId="59" xr:uid="{D625D043-04FE-4EC3-B10C-8782EED1E4C8}"/>
    <cellStyle name="Comma 3 3 2" xfId="122" xr:uid="{D56782DB-46E3-4211-BA46-9BA3F38A3BE2}"/>
    <cellStyle name="Comma 3 4" xfId="84" xr:uid="{1266B6C2-5496-4A15-9B86-BDE3A8B29C92}"/>
    <cellStyle name="Comma 3 4 2" xfId="138" xr:uid="{65CC6BF2-31C4-4441-A500-FB85BB09B0BB}"/>
    <cellStyle name="Comma 3 5" xfId="98" xr:uid="{CA2DE21F-B105-4B11-A2A8-7D8218F010AD}"/>
    <cellStyle name="Currency 2" xfId="43" xr:uid="{982F491D-C48E-4E10-9848-C67EF27C1D90}"/>
    <cellStyle name="Currency 3" xfId="38" xr:uid="{D332FC5B-8207-4B10-905F-5F5D1781DF17}"/>
    <cellStyle name="Millares" xfId="188" builtinId="3"/>
    <cellStyle name="Millares 2" xfId="1" xr:uid="{00000000-0005-0000-0000-000000000000}"/>
    <cellStyle name="Millares 2 10" xfId="169" xr:uid="{2705BCA3-AB53-421E-A25A-2FBB9898AEC5}"/>
    <cellStyle name="Millares 2 2" xfId="5" xr:uid="{00000000-0005-0000-0000-000001000000}"/>
    <cellStyle name="Millares 2 2 2" xfId="24" xr:uid="{63210C26-A9D2-4F96-B829-698749C2F5C9}"/>
    <cellStyle name="Millares 2 2 2 2" xfId="37" xr:uid="{42AB00F9-3FA9-4DB5-A326-A3228941A916}"/>
    <cellStyle name="Millares 2 2 2 2 2" xfId="72" xr:uid="{C3A8B175-CFFE-4BE7-9D61-56FF185D158E}"/>
    <cellStyle name="Millares 2 2 2 2 2 2" xfId="131" xr:uid="{CD5A7D96-EE62-42D5-8E10-257F8BD7E30C}"/>
    <cellStyle name="Millares 2 2 2 2 3" xfId="93" xr:uid="{F75E2A02-84EB-45E4-9CB9-4A779C6D0F78}"/>
    <cellStyle name="Millares 2 2 2 2 3 2" xfId="145" xr:uid="{28DFBECF-9CD4-4E7A-AE6B-AC54E3640CA3}"/>
    <cellStyle name="Millares 2 2 2 2 4" xfId="110" xr:uid="{85E09164-B2CC-46EA-9976-0EDA211C3844}"/>
    <cellStyle name="Millares 2 2 2 3" xfId="64" xr:uid="{DA51CE5B-D59C-4467-BB6A-DF5365888F4F}"/>
    <cellStyle name="Millares 2 2 2 3 2" xfId="116" xr:uid="{3EB6E04A-9087-4A6F-B3DB-81ED036D7AF0}"/>
    <cellStyle name="Millares 2 2 2 4" xfId="85" xr:uid="{66B9647A-8534-4252-A443-7A1BA1371F0C}"/>
    <cellStyle name="Millares 2 2 2 4 2" xfId="139" xr:uid="{563B5634-5EFA-4775-B68D-D99C5386E912}"/>
    <cellStyle name="Millares 2 2 2 5" xfId="101" xr:uid="{C78418DD-202C-40E5-B74F-2A5C4298B387}"/>
    <cellStyle name="Millares 2 2 3" xfId="26" xr:uid="{A9AA2A28-8A7E-4FCF-8A75-2114C95914A6}"/>
    <cellStyle name="Millares 2 2 4" xfId="33" xr:uid="{68DA13C7-978D-4F82-A2F5-9D3A023ED5FF}"/>
    <cellStyle name="Millares 2 2 5" xfId="113" xr:uid="{86976190-7F1B-4432-AB50-90ED86905D1F}"/>
    <cellStyle name="Millares 2 2 6" xfId="172" xr:uid="{994FBE9D-FC7A-4BF8-B1EB-252CFD9569A4}"/>
    <cellStyle name="Millares 2 2 7" xfId="168" xr:uid="{186519D9-A8F3-47FE-9DE7-5CFCAF0DBA1A}"/>
    <cellStyle name="Millares 2 3" xfId="14" xr:uid="{00000000-0005-0000-0000-000002000000}"/>
    <cellStyle name="Millares 2 3 2" xfId="21" xr:uid="{4E33C519-ACC7-416A-9AC3-7E5C85AC220C}"/>
    <cellStyle name="Millares 2 3 2 2" xfId="49" xr:uid="{F2EA4144-D2D6-4C24-B519-BC5697094E15}"/>
    <cellStyle name="Millares 2 3 2 2 2" xfId="105" xr:uid="{87DBD439-AB13-495C-B1B6-7367FF4C32DC}"/>
    <cellStyle name="Millares 2 3 2 3" xfId="66" xr:uid="{F4AE2465-F5F2-4315-83C0-82EF84564E21}"/>
    <cellStyle name="Millares 2 3 2 3 2" xfId="127" xr:uid="{E531C043-1872-4968-A7F2-3D406EEF4E73}"/>
    <cellStyle name="Millares 2 3 3" xfId="31" xr:uid="{4843041B-6987-44D1-876B-65D2968197BF}"/>
    <cellStyle name="Millares 2 3 3 2" xfId="65" xr:uid="{3C89132B-86E5-4F5B-B813-69A8513BB742}"/>
    <cellStyle name="Millares 2 3 3 2 2" xfId="126" xr:uid="{1A1B6980-F326-4DE3-A434-61369A0185AF}"/>
    <cellStyle name="Millares 2 3 3 3" xfId="88" xr:uid="{A1C64E7D-F95A-4028-9470-7CF08FCB85F1}"/>
    <cellStyle name="Millares 2 3 3 3 2" xfId="141" xr:uid="{3D7D5F7D-2BF6-41F4-A537-BABFB4ED4447}"/>
    <cellStyle name="Millares 2 3 3 4" xfId="106" xr:uid="{02CFED8B-0745-4D46-8CD0-5EC997D80C7D}"/>
    <cellStyle name="Millares 2 3 4" xfId="75" xr:uid="{359979C5-3080-4845-BD90-6FD9F0A9FEA8}"/>
    <cellStyle name="Millares 2 3 4 2" xfId="115" xr:uid="{4E7C8D89-E335-4404-AAF4-176A4ECB01D4}"/>
    <cellStyle name="Millares 2 3 5" xfId="79" xr:uid="{26FEF7BC-6081-4AC7-AD2A-8215B8847F34}"/>
    <cellStyle name="Millares 2 3 5 2" xfId="133" xr:uid="{93C2A99C-E9F9-41B2-B908-95121CFCBC5E}"/>
    <cellStyle name="Millares 2 3 6" xfId="97" xr:uid="{0C4B35FD-6200-44B0-BB6B-A07350786BA1}"/>
    <cellStyle name="Millares 2 3 7" xfId="174" xr:uid="{29D9193C-E6A9-485F-A450-5623039907D4}"/>
    <cellStyle name="Millares 2 4" xfId="4" xr:uid="{00000000-0005-0000-0000-000003000000}"/>
    <cellStyle name="Millares 2 5" xfId="19" xr:uid="{F2DFA24E-61B0-43DF-92B0-C93F0F75D27C}"/>
    <cellStyle name="Millares 2 5 2" xfId="60" xr:uid="{4C4A8CCB-1B8F-46EB-9D6A-D28035115713}"/>
    <cellStyle name="Millares 2 5 2 2" xfId="123" xr:uid="{0F2D2AD2-E78F-4399-B23A-4986E32699D9}"/>
    <cellStyle name="Millares 2 5 3" xfId="83" xr:uid="{D058DBB1-C13D-4B17-B617-6BF1BC313CAC}"/>
    <cellStyle name="Millares 2 5 3 2" xfId="137" xr:uid="{EB4D32A6-E590-416E-8B05-72F38AC2A915}"/>
    <cellStyle name="Millares 2 5 4" xfId="103" xr:uid="{B99D8AF5-B750-4026-A7BB-C53698898374}"/>
    <cellStyle name="Millares 2 6" xfId="25" xr:uid="{08EC0EAE-4A01-4F40-ABA7-971FFA895606}"/>
    <cellStyle name="Millares 2 6 2" xfId="52" xr:uid="{11172B3D-1669-4E1D-8CB0-F3AE23E23B49}"/>
    <cellStyle name="Millares 2 6 2 2" xfId="118" xr:uid="{9C831E2F-4F40-4FEC-8022-D5E759BCE861}"/>
    <cellStyle name="Millares 2 6 3" xfId="86" xr:uid="{5C5A994E-A98A-428E-A27E-EB0B2670807B}"/>
    <cellStyle name="Millares 2 6 3 2" xfId="140" xr:uid="{CD1745CE-95FD-4372-A76C-CAA7B654E457}"/>
    <cellStyle name="Millares 2 6 4" xfId="108" xr:uid="{8A3D50D7-6868-49F8-A25C-253CE2D57289}"/>
    <cellStyle name="Millares 2 7" xfId="73" xr:uid="{A3D2BC03-B7EC-47F3-924C-7D26B23C6E03}"/>
    <cellStyle name="Millares 2 7 2" xfId="112" xr:uid="{A9C4C0DC-2AF6-4E65-99A1-86FB645D69A2}"/>
    <cellStyle name="Millares 2 8" xfId="77" xr:uid="{623F29AA-A928-4D8D-BEF5-CE83AE28B45C}"/>
    <cellStyle name="Millares 2 8 2" xfId="132" xr:uid="{5EB2BC21-3FD6-461C-AFCC-63F6171B7F63}"/>
    <cellStyle name="Millares 2 9" xfId="94" xr:uid="{1EA0FD55-8BBE-49AF-8C7B-D0D6A1A775A0}"/>
    <cellStyle name="Millares 3" xfId="6" xr:uid="{00000000-0005-0000-0000-000004000000}"/>
    <cellStyle name="Millares 3 2" xfId="22" xr:uid="{82520658-FC29-4966-B8B6-0AA8A5B9ABDD}"/>
    <cellStyle name="Millares 3 2 2" xfId="35" xr:uid="{EFEBAD7B-BE0D-434B-911D-E2B5050EF420}"/>
    <cellStyle name="Millares 3 2 2 2" xfId="71" xr:uid="{A03C705F-8013-4C87-AC99-24F9D7243552}"/>
    <cellStyle name="Millares 3 2 2 2 2" xfId="130" xr:uid="{A1B6474C-A404-46DE-8A94-2D568600E74D}"/>
    <cellStyle name="Millares 3 2 2 3" xfId="92" xr:uid="{42FBC302-A500-4255-9C00-15D85E5017F1}"/>
    <cellStyle name="Millares 3 2 2 3 2" xfId="144" xr:uid="{18E50A51-B748-4174-AD6D-698A278F8671}"/>
    <cellStyle name="Millares 3 2 2 4" xfId="109" xr:uid="{5CEBB648-B330-4485-B531-C72A868102E0}"/>
    <cellStyle name="Millares 3 2 3" xfId="61" xr:uid="{9DB53913-853D-4424-B678-4AEE41F53B66}"/>
    <cellStyle name="Millares 3 2 3 2" xfId="114" xr:uid="{AA9FE02B-866D-4DD9-8916-2E1EB2DE4D1D}"/>
    <cellStyle name="Millares 3 2 4" xfId="82" xr:uid="{FA43B494-A5C0-4719-8CDE-B4F862CA8E11}"/>
    <cellStyle name="Millares 3 2 4 2" xfId="136" xr:uid="{392DC5D8-47D4-4EB4-BC07-B1BD79892BD9}"/>
    <cellStyle name="Millares 3 2 5" xfId="102" xr:uid="{E61D498E-39A2-4F5B-A809-5CEA8D10638F}"/>
    <cellStyle name="Millares 3 3" xfId="34" xr:uid="{89EB2705-C0C9-4C2C-9ED9-BEC82F15E225}"/>
    <cellStyle name="Millares 3 3 2" xfId="47" xr:uid="{B5F21D10-DC3C-41F7-AB29-4B7BC4753B17}"/>
    <cellStyle name="Millares 3 3 3" xfId="44" xr:uid="{2A5533E8-75BF-49D2-8EFD-45E6BB54A2A7}"/>
    <cellStyle name="Millares 3 4" xfId="111" xr:uid="{7377DF37-AA9E-476C-A0FC-ECD1D3BD2AC3}"/>
    <cellStyle name="Millares 3 5" xfId="177" xr:uid="{AAF67C82-AD6A-4646-84E4-0C8D724B1AA0}"/>
    <cellStyle name="Millares 3 6" xfId="178" xr:uid="{F1EAC4F6-22C3-4D5C-8550-BECFFA183C93}"/>
    <cellStyle name="Millares 4" xfId="3" xr:uid="{00000000-0005-0000-0000-000005000000}"/>
    <cellStyle name="Millares 4 2" xfId="23" xr:uid="{BACE2B16-BDAF-4F91-8C92-BC219333FF31}"/>
    <cellStyle name="Millares 4 2 2" xfId="62" xr:uid="{28E9D4CD-A338-45E6-89D8-5126A2EDD755}"/>
    <cellStyle name="Millares 4 2 2 2" xfId="124" xr:uid="{CF3D69FA-2957-4FDF-8ECF-FF096A8FCE6E}"/>
    <cellStyle name="Millares 4 2 3" xfId="81" xr:uid="{0FF0EA6D-E392-4D0C-84F1-EC1301A94541}"/>
    <cellStyle name="Millares 4 2 3 2" xfId="135" xr:uid="{198672AC-45E2-45DF-9CA0-2336EA2A763E}"/>
    <cellStyle name="Millares 4 2 4" xfId="99" xr:uid="{FF7C7BF0-614A-4AC3-95BD-3CA9B30A9D28}"/>
    <cellStyle name="Millares 4 3" xfId="46" xr:uid="{AB34BB4D-EA0C-4508-8BAB-7CC7A6407DB9}"/>
    <cellStyle name="Millares 5" xfId="150" xr:uid="{0699D798-D00C-4D3A-88CA-D9804A913DF4}"/>
    <cellStyle name="Millares 5 2" xfId="156" xr:uid="{E068D425-88FA-4B94-9736-0B0D839B3111}"/>
    <cellStyle name="Millares 6" xfId="157" xr:uid="{A2199C0F-878F-4C63-856B-3E2F773710C2}"/>
    <cellStyle name="Millares 6 2" xfId="165" xr:uid="{1DCABCF2-FF97-4927-B55B-B2F60FC9E708}"/>
    <cellStyle name="Moneda 2" xfId="13" xr:uid="{00000000-0005-0000-0000-000006000000}"/>
    <cellStyle name="Moneda 2 2" xfId="16" xr:uid="{00000000-0005-0000-0000-000007000000}"/>
    <cellStyle name="Moneda 2 3" xfId="20" xr:uid="{4650295D-DB5F-45A2-832F-A280CB8612F5}"/>
    <cellStyle name="Moneda 2 3 2" xfId="48" xr:uid="{3EEF5E4E-1A28-4F48-B88B-48E184892185}"/>
    <cellStyle name="Moneda 2 3 3" xfId="55" xr:uid="{B791FEA2-8AE7-4F22-AB7B-5127DCD68765}"/>
    <cellStyle name="Moneda 2 3 3 2" xfId="89" xr:uid="{5E7D9B68-E674-4858-B634-1CC067994A16}"/>
    <cellStyle name="Moneda 2 3 3 3" xfId="119" xr:uid="{72137A73-3DBE-45DB-94D3-C3DCAE0B015B}"/>
    <cellStyle name="Moneda 2 3 3 3 2" xfId="161" xr:uid="{A852183F-108A-4EC5-8961-7411707B7A9B}"/>
    <cellStyle name="Moneda 2 3 3 4" xfId="171" xr:uid="{CBDA4C37-D48B-472A-9966-FC39617A0D57}"/>
    <cellStyle name="Moneda 2 3 4" xfId="45" xr:uid="{3ED702C1-344C-4158-BAB0-48D70B2AECB2}"/>
    <cellStyle name="Moneda 2 3 4 2" xfId="167" xr:uid="{A9E50751-3F8B-4E14-99BB-31557B62175E}"/>
    <cellStyle name="Moneda 2 3 4 3" xfId="159" xr:uid="{44044B8E-7ACB-4CB5-B61C-3B052D3D3F72}"/>
    <cellStyle name="Moneda 2 4" xfId="30" xr:uid="{906B2164-4310-4008-8360-D56930978B96}"/>
    <cellStyle name="Moneda 2 4 2" xfId="76" xr:uid="{665C3E6B-8D2B-4C79-9F8F-54C940AB1921}"/>
    <cellStyle name="Moneda 2 4 3" xfId="87" xr:uid="{42A53B63-0A8F-48C6-929D-66103D337D47}"/>
    <cellStyle name="Moneda 2 5" xfId="57" xr:uid="{B05ECFF9-EDD8-4163-8DFB-57D8C33F2146}"/>
    <cellStyle name="Moneda 2 5 2" xfId="74" xr:uid="{5AB9E996-36F9-41BE-9471-D1755C143E40}"/>
    <cellStyle name="Moneda 2 5 3" xfId="120" xr:uid="{1181B4DD-8E9C-4D71-99DB-5D3E84F962F8}"/>
    <cellStyle name="Moneda 2 5 3 2" xfId="162" xr:uid="{F941172E-B372-4F83-9769-3F0961FE88E3}"/>
    <cellStyle name="Moneda 2 5 4" xfId="179" xr:uid="{70F3DE5F-6CEC-4C55-B873-09C263FE0969}"/>
    <cellStyle name="Moneda 2 6" xfId="78" xr:uid="{77F54735-967F-4043-AE93-AD51043079BD}"/>
    <cellStyle name="Moneda 2 7" xfId="175" xr:uid="{51764867-59E7-4876-AA44-A55549BF69AC}"/>
    <cellStyle name="Moneda 3" xfId="29" xr:uid="{77019211-13F7-4731-8D73-5B68B4B10C2F}"/>
    <cellStyle name="Moneda 3 2" xfId="32" xr:uid="{4E32E2FA-9E43-4CCB-9AE8-A67FE7D5BE8C}"/>
    <cellStyle name="Moneda 3 2 2" xfId="53" xr:uid="{D4D70C43-8F15-47FD-AE12-485E2547D27B}"/>
    <cellStyle name="Moneda 3 2 2 2" xfId="70" xr:uid="{2B9EA3E0-7401-4356-ADA8-F3FC0DC6BC34}"/>
    <cellStyle name="Moneda 3 2 2 3" xfId="149" xr:uid="{C99AD7F8-DF7E-49AB-B401-B2451B853EC4}"/>
    <cellStyle name="Moneda 3 2 2 4" xfId="184" xr:uid="{812A0597-0012-4CA3-8F99-88482B9236D7}"/>
    <cellStyle name="Moneda 3 2 3" xfId="69" xr:uid="{0FB7FF6B-30D4-42E1-80EC-4CB4215E3A65}"/>
    <cellStyle name="Moneda 3 2 4" xfId="107" xr:uid="{D3DC05B8-F3AB-4A59-8433-AE26DF1F76EF}"/>
    <cellStyle name="Moneda 3 3" xfId="50" xr:uid="{B614D2B3-DABA-464C-B6E8-808FE286C2DE}"/>
    <cellStyle name="Moneda 3 4" xfId="39" xr:uid="{2735D3DC-7700-4B69-AEAF-90B85BF8D101}"/>
    <cellStyle name="Moneda 3 5" xfId="153" xr:uid="{69A9A4E2-C123-4311-800F-9DC37ED2ABCA}"/>
    <cellStyle name="Moneda 4" xfId="152" xr:uid="{9EB15BE8-E4BA-4F22-BA2A-1590234C246B}"/>
    <cellStyle name="Moneda 4 2" xfId="166" xr:uid="{9FD1C9E2-7466-4D99-8961-184E0A78A04A}"/>
    <cellStyle name="Moneda 4 3" xfId="164" xr:uid="{D7CE044C-593E-40A7-B714-A7771D3C0BDF}"/>
    <cellStyle name="Moneda 4 4" xfId="158" xr:uid="{D8AA4C5F-998D-4C73-97FB-C3271240E18F}"/>
    <cellStyle name="Normal" xfId="0" builtinId="0"/>
    <cellStyle name="Normal 15" xfId="40" xr:uid="{F9D5B260-30D0-4D26-9C05-90A67FA6FF9C}"/>
    <cellStyle name="Normal 2" xfId="7" xr:uid="{00000000-0005-0000-0000-000009000000}"/>
    <cellStyle name="Normal 2 2" xfId="8" xr:uid="{00000000-0005-0000-0000-00000A000000}"/>
    <cellStyle name="Normal 2 3" xfId="15" xr:uid="{00000000-0005-0000-0000-00000B000000}"/>
    <cellStyle name="Normal 2 4" xfId="36" xr:uid="{BBE373A5-17B6-4335-AED9-85B33C9BC560}"/>
    <cellStyle name="Normal 2 4 2" xfId="51" xr:uid="{1FBCC120-DCD6-4F00-9B58-6788DEE79405}"/>
    <cellStyle name="Normal 2 4 2 2" xfId="147" xr:uid="{19F4DD0C-A242-4AA5-B309-0D4DE5FB6C35}"/>
    <cellStyle name="Normal 2 4 2 2 2" xfId="155" xr:uid="{7BDF7B52-6092-4376-9A56-9B86CC5D6D31}"/>
    <cellStyle name="Normal 2 4 2 2 3" xfId="163" xr:uid="{EC134EF7-7494-46DB-A2B3-5DEE91B4610B}"/>
    <cellStyle name="Normal 2 4 2 2 3 2" xfId="187" xr:uid="{F42FE8E3-DD51-4CE8-AABF-1304D33D4BE3}"/>
    <cellStyle name="Normal 2 4 2 3" xfId="117" xr:uid="{579289EA-4696-48E1-B315-CFF3D6535805}"/>
    <cellStyle name="Normal 2 4 2 3 2" xfId="183" xr:uid="{F2DC855A-12FA-4AFA-98D3-16375EC70756}"/>
    <cellStyle name="Normal 2 4 2 4" xfId="148" xr:uid="{87C940B7-E6D4-4FDA-96F8-369768FC3232}"/>
    <cellStyle name="Normal 2 4 2 4 2" xfId="160" xr:uid="{98A0D72D-0FD9-4A4D-8439-1F4256AF5EB0}"/>
    <cellStyle name="Normal 2 4 2 5" xfId="104" xr:uid="{4314C009-9E18-4C76-AFA0-1433492C6FB0}"/>
    <cellStyle name="Normal 2 4 3" xfId="63" xr:uid="{74C5F570-8D5D-48C8-92C6-86B6AAD8C08C}"/>
    <cellStyle name="Normal 2 4 3 2" xfId="125" xr:uid="{EC638E1B-F8DA-41FD-B33A-3D4CFE7F9187}"/>
    <cellStyle name="Normal 2 4 3 2 2" xfId="185" xr:uid="{1F0D181E-AED9-490A-B2E8-39CDAD94C603}"/>
    <cellStyle name="Normal 2 4 4" xfId="154" xr:uid="{F27FF7B4-E640-4AC8-98D1-99934A119A22}"/>
    <cellStyle name="Normal 2 4 4 2" xfId="186" xr:uid="{89A714FC-C729-40E4-9F40-12B043B0303E}"/>
    <cellStyle name="Normal 2 5" xfId="54" xr:uid="{6810FD19-7C7E-43F7-935C-2CB7A36F0BE1}"/>
    <cellStyle name="Normal 2 5 2" xfId="180" xr:uid="{229DF136-E8EF-418F-9F8B-5BC4079775CB}"/>
    <cellStyle name="Normal 2 5 3" xfId="173" xr:uid="{AD99904C-AD29-45B9-8BA6-39D6348F6AB6}"/>
    <cellStyle name="Normal 2 6" xfId="41" xr:uid="{1C167D87-5DA2-45AC-A0AA-8D98C3CE4B87}"/>
    <cellStyle name="Normal 2 6 2" xfId="182" xr:uid="{C19EEC7F-5D9A-4BB5-9C15-60C3CD14D282}"/>
    <cellStyle name="Normal 2 6 3" xfId="176" xr:uid="{D9CDF083-0355-4421-A2AD-41713DD13276}"/>
    <cellStyle name="Normal 3" xfId="9" xr:uid="{00000000-0005-0000-0000-00000C000000}"/>
    <cellStyle name="Normal 4" xfId="10" xr:uid="{00000000-0005-0000-0000-00000D000000}"/>
    <cellStyle name="Normal 4 2" xfId="11" xr:uid="{00000000-0005-0000-0000-00000E000000}"/>
    <cellStyle name="Normal 5" xfId="12" xr:uid="{00000000-0005-0000-0000-00000F000000}"/>
    <cellStyle name="Normal 6" xfId="2" xr:uid="{00000000-0005-0000-0000-000010000000}"/>
    <cellStyle name="Normal 7" xfId="56" xr:uid="{CD087652-764C-4812-866C-480095DAFB7B}"/>
    <cellStyle name="Porcentaje 2" xfId="42" xr:uid="{A4EC01C4-93C4-4DA1-AB37-ACDFC7228F3D}"/>
    <cellStyle name="Porcentaje 2 2" xfId="146" xr:uid="{11F574F3-2E8A-4A69-A814-4347827D8193}"/>
    <cellStyle name="Porcentaje 2 2 2" xfId="181" xr:uid="{30AE3CF8-8A19-488D-B824-26DE05B1910A}"/>
    <cellStyle name="Porcentaje 2 3" xfId="170" xr:uid="{5C2D8967-FEF1-48B0-8D17-0BA90C962AE5}"/>
    <cellStyle name="Porcentaje 3" xfId="151" xr:uid="{DDDAC62C-E519-4FD4-9800-D49CF882E5A9}"/>
  </cellStyles>
  <dxfs count="0"/>
  <tableStyles count="0" defaultTableStyle="TableStyleMedium2" defaultPivotStyle="PivotStyleLight16"/>
  <colors>
    <mruColors>
      <color rgb="FFFA6204"/>
      <color rgb="FFCC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80"/>
  <sheetViews>
    <sheetView topLeftCell="A61" workbookViewId="0">
      <selection activeCell="K74" sqref="K74"/>
    </sheetView>
  </sheetViews>
  <sheetFormatPr baseColWidth="10" defaultRowHeight="15" x14ac:dyDescent="0.25"/>
  <cols>
    <col min="4" max="4" width="50.5703125" bestFit="1" customWidth="1"/>
  </cols>
  <sheetData>
    <row r="1" spans="1:15" x14ac:dyDescent="0.25">
      <c r="A1" s="9" t="s">
        <v>13</v>
      </c>
      <c r="B1" s="9" t="s">
        <v>23</v>
      </c>
      <c r="C1" s="9" t="s">
        <v>24</v>
      </c>
      <c r="D1" s="9" t="s">
        <v>25</v>
      </c>
      <c r="E1" s="9" t="s">
        <v>7</v>
      </c>
      <c r="F1" s="9" t="s">
        <v>15</v>
      </c>
      <c r="G1" s="9" t="s">
        <v>16</v>
      </c>
      <c r="H1" s="9" t="s">
        <v>8</v>
      </c>
      <c r="I1" s="10" t="s">
        <v>9</v>
      </c>
      <c r="J1" s="11" t="s">
        <v>26</v>
      </c>
      <c r="K1" s="10" t="s">
        <v>10</v>
      </c>
      <c r="L1" s="10" t="s">
        <v>33</v>
      </c>
      <c r="M1" s="10" t="s">
        <v>27</v>
      </c>
      <c r="N1" s="10" t="s">
        <v>11</v>
      </c>
      <c r="O1" s="9" t="s">
        <v>14</v>
      </c>
    </row>
    <row r="2" spans="1:15" x14ac:dyDescent="0.25">
      <c r="A2" s="8" t="s">
        <v>22</v>
      </c>
      <c r="B2" s="8" t="s">
        <v>28</v>
      </c>
      <c r="C2" s="8" t="s">
        <v>73</v>
      </c>
      <c r="D2" s="8" t="s">
        <v>74</v>
      </c>
      <c r="E2" s="8" t="s">
        <v>40</v>
      </c>
      <c r="F2" s="8" t="s">
        <v>20</v>
      </c>
      <c r="G2" s="8" t="s">
        <v>35</v>
      </c>
      <c r="H2" s="8" t="s">
        <v>36</v>
      </c>
      <c r="I2" s="44">
        <v>21092.13</v>
      </c>
      <c r="J2" s="44">
        <v>2952.9</v>
      </c>
      <c r="K2" s="8" t="s">
        <v>43</v>
      </c>
      <c r="L2" s="44">
        <v>2657.61</v>
      </c>
      <c r="M2" s="44">
        <v>53.152200000000001</v>
      </c>
      <c r="N2" s="44">
        <v>2604.4578000000001</v>
      </c>
    </row>
    <row r="3" spans="1:15" x14ac:dyDescent="0.25">
      <c r="A3" s="8" t="s">
        <v>30</v>
      </c>
      <c r="B3" s="8" t="s">
        <v>31</v>
      </c>
      <c r="C3" s="8" t="s">
        <v>75</v>
      </c>
      <c r="D3" s="8" t="s">
        <v>76</v>
      </c>
      <c r="E3" s="8" t="s">
        <v>37</v>
      </c>
      <c r="F3" s="8" t="s">
        <v>20</v>
      </c>
      <c r="G3" s="8" t="s">
        <v>32</v>
      </c>
      <c r="H3" s="8" t="s">
        <v>36</v>
      </c>
      <c r="I3" s="44">
        <v>235320</v>
      </c>
      <c r="J3" s="44">
        <v>11766</v>
      </c>
      <c r="K3" s="8" t="s">
        <v>42</v>
      </c>
      <c r="L3" s="44">
        <v>10001.1</v>
      </c>
      <c r="M3" s="44">
        <v>200.02200000000002</v>
      </c>
      <c r="N3" s="44">
        <v>9801.0779999999995</v>
      </c>
    </row>
    <row r="4" spans="1:15" x14ac:dyDescent="0.25">
      <c r="A4" s="8" t="s">
        <v>30</v>
      </c>
      <c r="B4" s="8" t="s">
        <v>31</v>
      </c>
      <c r="C4" s="8" t="s">
        <v>77</v>
      </c>
      <c r="D4" s="8" t="s">
        <v>78</v>
      </c>
      <c r="E4" s="8" t="s">
        <v>37</v>
      </c>
      <c r="F4" s="8" t="s">
        <v>38</v>
      </c>
      <c r="G4" s="8" t="s">
        <v>35</v>
      </c>
      <c r="H4" s="8" t="s">
        <v>36</v>
      </c>
      <c r="I4" s="44">
        <v>26550</v>
      </c>
      <c r="J4" s="44">
        <v>3982</v>
      </c>
      <c r="K4" s="8" t="s">
        <v>42</v>
      </c>
      <c r="L4" s="44">
        <v>3384.7</v>
      </c>
      <c r="M4" s="44">
        <v>67.694000000000003</v>
      </c>
      <c r="N4" s="44">
        <v>3317.0059999999999</v>
      </c>
    </row>
    <row r="5" spans="1:15" x14ac:dyDescent="0.25">
      <c r="A5" s="8" t="s">
        <v>30</v>
      </c>
      <c r="B5" s="8" t="s">
        <v>31</v>
      </c>
      <c r="C5" s="8" t="s">
        <v>79</v>
      </c>
      <c r="D5" s="8" t="s">
        <v>80</v>
      </c>
      <c r="E5" s="8" t="s">
        <v>37</v>
      </c>
      <c r="F5" s="8" t="s">
        <v>38</v>
      </c>
      <c r="G5" s="8" t="s">
        <v>35</v>
      </c>
      <c r="H5" s="8" t="s">
        <v>36</v>
      </c>
      <c r="I5" s="44">
        <v>25711</v>
      </c>
      <c r="J5" s="44">
        <v>3852</v>
      </c>
      <c r="K5" s="8" t="s">
        <v>42</v>
      </c>
      <c r="L5" s="44">
        <v>3274.2</v>
      </c>
      <c r="M5" s="44">
        <v>65.483999999999995</v>
      </c>
      <c r="N5" s="44">
        <v>3208.7159999999999</v>
      </c>
    </row>
    <row r="6" spans="1:15" x14ac:dyDescent="0.25">
      <c r="A6" s="8" t="s">
        <v>30</v>
      </c>
      <c r="B6" s="8" t="s">
        <v>31</v>
      </c>
      <c r="C6" s="8" t="s">
        <v>81</v>
      </c>
      <c r="D6" s="8" t="s">
        <v>82</v>
      </c>
      <c r="E6" s="8" t="s">
        <v>37</v>
      </c>
      <c r="F6" s="8" t="s">
        <v>20</v>
      </c>
      <c r="G6" s="8" t="s">
        <v>35</v>
      </c>
      <c r="H6" s="8" t="s">
        <v>36</v>
      </c>
      <c r="I6" s="44">
        <v>193285</v>
      </c>
      <c r="J6" s="44">
        <v>28992</v>
      </c>
      <c r="K6" s="8" t="s">
        <v>42</v>
      </c>
      <c r="L6" s="44">
        <v>24643.200000000001</v>
      </c>
      <c r="M6" s="44">
        <v>492.86400000000003</v>
      </c>
      <c r="N6" s="44">
        <v>24150.335999999999</v>
      </c>
    </row>
    <row r="7" spans="1:15" x14ac:dyDescent="0.25">
      <c r="A7" s="8" t="s">
        <v>30</v>
      </c>
      <c r="B7" s="8" t="s">
        <v>31</v>
      </c>
      <c r="C7" s="8" t="s">
        <v>83</v>
      </c>
      <c r="D7" s="8" t="s">
        <v>84</v>
      </c>
      <c r="E7" s="8" t="s">
        <v>37</v>
      </c>
      <c r="F7" s="8" t="s">
        <v>20</v>
      </c>
      <c r="G7" s="8" t="s">
        <v>35</v>
      </c>
      <c r="H7" s="8" t="s">
        <v>36</v>
      </c>
      <c r="I7" s="44">
        <v>159848</v>
      </c>
      <c r="J7" s="44">
        <v>23977</v>
      </c>
      <c r="K7" s="8" t="s">
        <v>42</v>
      </c>
      <c r="L7" s="44">
        <v>20380.45</v>
      </c>
      <c r="M7" s="44">
        <v>407.60900000000004</v>
      </c>
      <c r="N7" s="44">
        <v>19972.841</v>
      </c>
    </row>
    <row r="8" spans="1:15" x14ac:dyDescent="0.25">
      <c r="A8" s="8" t="s">
        <v>30</v>
      </c>
      <c r="B8" s="8" t="s">
        <v>31</v>
      </c>
      <c r="C8" s="8" t="s">
        <v>85</v>
      </c>
      <c r="D8" s="8" t="s">
        <v>86</v>
      </c>
      <c r="E8" s="8" t="s">
        <v>37</v>
      </c>
      <c r="F8" s="8" t="s">
        <v>20</v>
      </c>
      <c r="G8" s="8" t="s">
        <v>35</v>
      </c>
      <c r="H8" s="8" t="s">
        <v>36</v>
      </c>
      <c r="I8" s="44">
        <v>50937</v>
      </c>
      <c r="J8" s="44">
        <v>7640</v>
      </c>
      <c r="K8" s="8" t="s">
        <v>42</v>
      </c>
      <c r="L8" s="44">
        <v>6494</v>
      </c>
      <c r="M8" s="44">
        <v>129.88</v>
      </c>
      <c r="N8" s="44">
        <v>6364.12</v>
      </c>
    </row>
    <row r="9" spans="1:15" x14ac:dyDescent="0.25">
      <c r="A9" s="8" t="s">
        <v>30</v>
      </c>
      <c r="B9" s="8" t="s">
        <v>31</v>
      </c>
      <c r="C9" s="8" t="s">
        <v>87</v>
      </c>
      <c r="D9" s="8" t="s">
        <v>88</v>
      </c>
      <c r="E9" s="8" t="s">
        <v>37</v>
      </c>
      <c r="F9" s="8" t="s">
        <v>38</v>
      </c>
      <c r="G9" s="8" t="s">
        <v>35</v>
      </c>
      <c r="H9" s="8" t="s">
        <v>36</v>
      </c>
      <c r="I9" s="44">
        <v>15551</v>
      </c>
      <c r="J9" s="44">
        <v>2333</v>
      </c>
      <c r="K9" s="8" t="s">
        <v>42</v>
      </c>
      <c r="L9" s="44">
        <v>1983.05</v>
      </c>
      <c r="M9" s="44">
        <v>39.661000000000001</v>
      </c>
      <c r="N9" s="44">
        <v>1943.3889999999999</v>
      </c>
    </row>
    <row r="10" spans="1:15" x14ac:dyDescent="0.25">
      <c r="A10" s="8" t="s">
        <v>30</v>
      </c>
      <c r="B10" s="8" t="s">
        <v>31</v>
      </c>
      <c r="C10" s="8" t="s">
        <v>89</v>
      </c>
      <c r="D10" s="8" t="s">
        <v>90</v>
      </c>
      <c r="E10" s="8" t="s">
        <v>37</v>
      </c>
      <c r="F10" s="8" t="s">
        <v>38</v>
      </c>
      <c r="G10" s="8" t="s">
        <v>35</v>
      </c>
      <c r="H10" s="8" t="s">
        <v>36</v>
      </c>
      <c r="I10" s="44">
        <v>53672</v>
      </c>
      <c r="J10" s="44">
        <v>8050</v>
      </c>
      <c r="K10" s="8" t="s">
        <v>42</v>
      </c>
      <c r="L10" s="44">
        <v>6842.5</v>
      </c>
      <c r="M10" s="44">
        <v>136.85</v>
      </c>
      <c r="N10" s="44">
        <v>6705.65</v>
      </c>
    </row>
    <row r="11" spans="1:15" x14ac:dyDescent="0.25">
      <c r="A11" s="8" t="s">
        <v>30</v>
      </c>
      <c r="B11" s="8" t="s">
        <v>31</v>
      </c>
      <c r="C11" s="8" t="s">
        <v>91</v>
      </c>
      <c r="D11" s="8" t="s">
        <v>92</v>
      </c>
      <c r="E11" s="8" t="s">
        <v>37</v>
      </c>
      <c r="F11" s="8" t="s">
        <v>38</v>
      </c>
      <c r="G11" s="8" t="s">
        <v>35</v>
      </c>
      <c r="H11" s="8" t="s">
        <v>36</v>
      </c>
      <c r="I11" s="44">
        <v>8840</v>
      </c>
      <c r="J11" s="44">
        <v>1856</v>
      </c>
      <c r="K11" s="8" t="s">
        <v>42</v>
      </c>
      <c r="L11" s="44">
        <v>1577.6</v>
      </c>
      <c r="M11" s="44">
        <v>31.552</v>
      </c>
      <c r="N11" s="44">
        <v>1546.048</v>
      </c>
    </row>
    <row r="12" spans="1:15" x14ac:dyDescent="0.25">
      <c r="A12" s="8" t="s">
        <v>30</v>
      </c>
      <c r="B12" s="8" t="s">
        <v>31</v>
      </c>
      <c r="C12" s="8" t="s">
        <v>85</v>
      </c>
      <c r="D12" s="8" t="s">
        <v>86</v>
      </c>
      <c r="E12" s="8" t="s">
        <v>37</v>
      </c>
      <c r="F12" s="8" t="s">
        <v>20</v>
      </c>
      <c r="G12" s="8" t="s">
        <v>35</v>
      </c>
      <c r="H12" s="8" t="s">
        <v>36</v>
      </c>
      <c r="I12" s="44">
        <v>-8818</v>
      </c>
      <c r="J12" s="44">
        <v>-1323</v>
      </c>
      <c r="K12" s="8" t="s">
        <v>42</v>
      </c>
      <c r="L12" s="44">
        <v>-1124.55</v>
      </c>
      <c r="M12" s="44">
        <v>-22.491</v>
      </c>
      <c r="N12" s="44">
        <v>-1102.059</v>
      </c>
    </row>
    <row r="13" spans="1:15" x14ac:dyDescent="0.25">
      <c r="A13" s="8" t="s">
        <v>30</v>
      </c>
      <c r="B13" s="8" t="s">
        <v>31</v>
      </c>
      <c r="C13" s="8" t="s">
        <v>93</v>
      </c>
      <c r="D13" s="8" t="s">
        <v>94</v>
      </c>
      <c r="E13" s="8" t="s">
        <v>45</v>
      </c>
      <c r="F13" s="8" t="s">
        <v>20</v>
      </c>
      <c r="G13" s="8" t="s">
        <v>35</v>
      </c>
      <c r="H13" s="8" t="s">
        <v>36</v>
      </c>
      <c r="I13" s="44">
        <v>14789</v>
      </c>
      <c r="J13" s="44">
        <v>2070.46</v>
      </c>
      <c r="K13" s="8" t="s">
        <v>42</v>
      </c>
      <c r="L13" s="44">
        <v>1759.8910000000001</v>
      </c>
      <c r="M13" s="44">
        <v>35.19782</v>
      </c>
      <c r="N13" s="44">
        <v>1724.69318</v>
      </c>
    </row>
    <row r="14" spans="1:15" x14ac:dyDescent="0.25">
      <c r="A14" s="8" t="s">
        <v>30</v>
      </c>
      <c r="B14" s="8" t="s">
        <v>31</v>
      </c>
      <c r="C14" s="8" t="s">
        <v>95</v>
      </c>
      <c r="D14" s="8" t="s">
        <v>96</v>
      </c>
      <c r="E14" s="8" t="s">
        <v>45</v>
      </c>
      <c r="F14" s="8" t="s">
        <v>20</v>
      </c>
      <c r="G14" s="8" t="s">
        <v>35</v>
      </c>
      <c r="H14" s="8" t="s">
        <v>36</v>
      </c>
      <c r="I14" s="44">
        <v>143128.47</v>
      </c>
      <c r="J14" s="44">
        <v>20037.98</v>
      </c>
      <c r="K14" s="8" t="s">
        <v>42</v>
      </c>
      <c r="L14" s="44">
        <v>17032.282999999999</v>
      </c>
      <c r="M14" s="44">
        <v>340.64566000000002</v>
      </c>
      <c r="N14" s="44">
        <v>16691.637340000001</v>
      </c>
    </row>
    <row r="15" spans="1:15" x14ac:dyDescent="0.25">
      <c r="A15" s="8" t="s">
        <v>30</v>
      </c>
      <c r="B15" s="8" t="s">
        <v>31</v>
      </c>
      <c r="C15" s="8" t="s">
        <v>97</v>
      </c>
      <c r="D15" s="8" t="s">
        <v>98</v>
      </c>
      <c r="E15" s="8" t="s">
        <v>45</v>
      </c>
      <c r="F15" s="8" t="s">
        <v>20</v>
      </c>
      <c r="G15" s="8" t="s">
        <v>35</v>
      </c>
      <c r="H15" s="8" t="s">
        <v>36</v>
      </c>
      <c r="I15" s="44">
        <v>79171.67</v>
      </c>
      <c r="J15" s="44">
        <v>11084.03</v>
      </c>
      <c r="K15" s="8" t="s">
        <v>42</v>
      </c>
      <c r="L15" s="44">
        <v>9421.4255000000012</v>
      </c>
      <c r="M15" s="44">
        <v>188.42851000000002</v>
      </c>
      <c r="N15" s="44">
        <v>9232.9969900000015</v>
      </c>
    </row>
    <row r="16" spans="1:15" x14ac:dyDescent="0.25">
      <c r="A16" s="8" t="s">
        <v>30</v>
      </c>
      <c r="B16" s="8" t="s">
        <v>31</v>
      </c>
      <c r="C16" s="8" t="s">
        <v>69</v>
      </c>
      <c r="D16" s="8" t="s">
        <v>70</v>
      </c>
      <c r="E16" s="8" t="s">
        <v>39</v>
      </c>
      <c r="F16" s="8" t="s">
        <v>29</v>
      </c>
      <c r="G16" s="8" t="s">
        <v>35</v>
      </c>
      <c r="H16" s="8" t="s">
        <v>36</v>
      </c>
      <c r="I16" s="44">
        <v>22425.09</v>
      </c>
      <c r="J16" s="44">
        <v>3363.76</v>
      </c>
      <c r="K16" s="8" t="s">
        <v>42</v>
      </c>
      <c r="L16" s="44">
        <v>2859.1959999999999</v>
      </c>
      <c r="M16" s="44">
        <v>57.183920000000001</v>
      </c>
      <c r="N16" s="44">
        <v>2802.01208</v>
      </c>
    </row>
    <row r="17" spans="1:14" x14ac:dyDescent="0.25">
      <c r="A17" s="8" t="s">
        <v>30</v>
      </c>
      <c r="B17" s="8" t="s">
        <v>31</v>
      </c>
      <c r="C17" s="8" t="s">
        <v>99</v>
      </c>
      <c r="D17" s="8" t="s">
        <v>100</v>
      </c>
      <c r="E17" s="8" t="s">
        <v>39</v>
      </c>
      <c r="F17" s="8" t="s">
        <v>20</v>
      </c>
      <c r="G17" s="8" t="s">
        <v>35</v>
      </c>
      <c r="H17" s="8" t="s">
        <v>36</v>
      </c>
      <c r="I17" s="44">
        <v>78744.850000000006</v>
      </c>
      <c r="J17" s="44">
        <v>11811.72</v>
      </c>
      <c r="K17" s="8" t="s">
        <v>42</v>
      </c>
      <c r="L17" s="44">
        <v>10039.962</v>
      </c>
      <c r="M17" s="44">
        <v>200.79924</v>
      </c>
      <c r="N17" s="44">
        <v>9839.1627599999993</v>
      </c>
    </row>
    <row r="18" spans="1:14" x14ac:dyDescent="0.25">
      <c r="A18" s="8" t="s">
        <v>30</v>
      </c>
      <c r="B18" s="8" t="s">
        <v>31</v>
      </c>
      <c r="C18" s="8" t="s">
        <v>101</v>
      </c>
      <c r="D18" s="8" t="s">
        <v>102</v>
      </c>
      <c r="E18" s="8" t="s">
        <v>39</v>
      </c>
      <c r="F18" s="8" t="s">
        <v>20</v>
      </c>
      <c r="G18" s="8" t="s">
        <v>35</v>
      </c>
      <c r="H18" s="8" t="s">
        <v>36</v>
      </c>
      <c r="I18" s="44">
        <v>16631.490000000002</v>
      </c>
      <c r="J18" s="44">
        <v>2494.7199999999998</v>
      </c>
      <c r="K18" s="8" t="s">
        <v>42</v>
      </c>
      <c r="L18" s="44">
        <v>2120.5119999999997</v>
      </c>
      <c r="M18" s="44">
        <v>42.410239999999995</v>
      </c>
      <c r="N18" s="44">
        <v>2078.1017599999996</v>
      </c>
    </row>
    <row r="19" spans="1:14" x14ac:dyDescent="0.25">
      <c r="A19" s="8" t="s">
        <v>30</v>
      </c>
      <c r="B19" s="8" t="s">
        <v>31</v>
      </c>
      <c r="C19" s="8" t="s">
        <v>103</v>
      </c>
      <c r="D19" s="8" t="s">
        <v>104</v>
      </c>
      <c r="E19" s="8" t="s">
        <v>39</v>
      </c>
      <c r="F19" s="8" t="s">
        <v>20</v>
      </c>
      <c r="G19" s="8" t="s">
        <v>35</v>
      </c>
      <c r="H19" s="8" t="s">
        <v>36</v>
      </c>
      <c r="I19" s="44">
        <v>13416.04</v>
      </c>
      <c r="J19" s="44">
        <v>2012.41</v>
      </c>
      <c r="K19" s="8" t="s">
        <v>42</v>
      </c>
      <c r="L19" s="44">
        <v>1710.5485000000001</v>
      </c>
      <c r="M19" s="44">
        <v>34.210970000000003</v>
      </c>
      <c r="N19" s="44">
        <v>1676.33753</v>
      </c>
    </row>
    <row r="20" spans="1:14" x14ac:dyDescent="0.25">
      <c r="A20" s="8" t="s">
        <v>30</v>
      </c>
      <c r="B20" s="8" t="s">
        <v>31</v>
      </c>
      <c r="C20" s="8" t="s">
        <v>105</v>
      </c>
      <c r="D20" s="8" t="s">
        <v>106</v>
      </c>
      <c r="E20" s="8" t="s">
        <v>39</v>
      </c>
      <c r="F20" s="8" t="s">
        <v>20</v>
      </c>
      <c r="G20" s="8" t="s">
        <v>35</v>
      </c>
      <c r="H20" s="8" t="s">
        <v>36</v>
      </c>
      <c r="I20" s="44">
        <v>86081.81</v>
      </c>
      <c r="J20" s="44">
        <v>12912.27</v>
      </c>
      <c r="K20" s="8" t="s">
        <v>42</v>
      </c>
      <c r="L20" s="44">
        <v>10975.4295</v>
      </c>
      <c r="M20" s="44">
        <v>219.50859</v>
      </c>
      <c r="N20" s="44">
        <v>10755.920910000001</v>
      </c>
    </row>
    <row r="21" spans="1:14" x14ac:dyDescent="0.25">
      <c r="A21" s="8" t="s">
        <v>30</v>
      </c>
      <c r="B21" s="8" t="s">
        <v>31</v>
      </c>
      <c r="C21" s="8" t="s">
        <v>107</v>
      </c>
      <c r="D21" s="8" t="s">
        <v>108</v>
      </c>
      <c r="E21" s="8" t="s">
        <v>39</v>
      </c>
      <c r="F21" s="8" t="s">
        <v>20</v>
      </c>
      <c r="G21" s="8" t="s">
        <v>35</v>
      </c>
      <c r="H21" s="8" t="s">
        <v>36</v>
      </c>
      <c r="I21" s="44">
        <v>46186.84</v>
      </c>
      <c r="J21" s="44">
        <v>6928.03</v>
      </c>
      <c r="K21" s="8" t="s">
        <v>42</v>
      </c>
      <c r="L21" s="44">
        <v>5888.8254999999999</v>
      </c>
      <c r="M21" s="44">
        <v>117.77651</v>
      </c>
      <c r="N21" s="44">
        <v>5771.0489900000002</v>
      </c>
    </row>
    <row r="22" spans="1:14" x14ac:dyDescent="0.25">
      <c r="A22" s="8" t="s">
        <v>30</v>
      </c>
      <c r="B22" s="8" t="s">
        <v>31</v>
      </c>
      <c r="C22" s="8" t="s">
        <v>109</v>
      </c>
      <c r="D22" s="8" t="s">
        <v>110</v>
      </c>
      <c r="E22" s="8" t="s">
        <v>40</v>
      </c>
      <c r="F22" s="8" t="s">
        <v>20</v>
      </c>
      <c r="G22" s="8" t="s">
        <v>35</v>
      </c>
      <c r="H22" s="8" t="s">
        <v>36</v>
      </c>
      <c r="I22" s="44">
        <v>20932.34</v>
      </c>
      <c r="J22" s="44">
        <v>2930.53</v>
      </c>
      <c r="K22" s="8" t="s">
        <v>42</v>
      </c>
      <c r="L22" s="44">
        <v>2490.9504999999999</v>
      </c>
      <c r="M22" s="44">
        <v>49.819009999999999</v>
      </c>
      <c r="N22" s="44">
        <v>2441.1314899999998</v>
      </c>
    </row>
    <row r="23" spans="1:14" x14ac:dyDescent="0.25">
      <c r="A23" s="8" t="s">
        <v>30</v>
      </c>
      <c r="B23" s="8" t="s">
        <v>31</v>
      </c>
      <c r="C23" s="8" t="s">
        <v>111</v>
      </c>
      <c r="D23" s="8" t="s">
        <v>112</v>
      </c>
      <c r="E23" s="8" t="s">
        <v>40</v>
      </c>
      <c r="F23" s="8" t="s">
        <v>20</v>
      </c>
      <c r="G23" s="8" t="s">
        <v>35</v>
      </c>
      <c r="H23" s="8" t="s">
        <v>36</v>
      </c>
      <c r="I23" s="44">
        <v>141096.13</v>
      </c>
      <c r="J23" s="44">
        <v>19753.46</v>
      </c>
      <c r="K23" s="8" t="s">
        <v>42</v>
      </c>
      <c r="L23" s="44">
        <v>16790.440999999999</v>
      </c>
      <c r="M23" s="44">
        <v>335.80881999999997</v>
      </c>
      <c r="N23" s="44">
        <v>16454.632180000001</v>
      </c>
    </row>
    <row r="24" spans="1:14" x14ac:dyDescent="0.25">
      <c r="A24" s="8" t="s">
        <v>30</v>
      </c>
      <c r="B24" s="8" t="s">
        <v>31</v>
      </c>
      <c r="C24" s="8" t="s">
        <v>113</v>
      </c>
      <c r="D24" s="8" t="s">
        <v>114</v>
      </c>
      <c r="E24" s="8" t="s">
        <v>40</v>
      </c>
      <c r="F24" s="8" t="s">
        <v>20</v>
      </c>
      <c r="G24" s="8" t="s">
        <v>35</v>
      </c>
      <c r="H24" s="8" t="s">
        <v>36</v>
      </c>
      <c r="I24" s="44">
        <v>20009.39</v>
      </c>
      <c r="J24" s="44">
        <v>2801.31</v>
      </c>
      <c r="K24" s="8" t="s">
        <v>42</v>
      </c>
      <c r="L24" s="44">
        <v>2381.1134999999999</v>
      </c>
      <c r="M24" s="44">
        <v>47.62227</v>
      </c>
      <c r="N24" s="44">
        <v>2333.4912300000001</v>
      </c>
    </row>
    <row r="25" spans="1:14" x14ac:dyDescent="0.25">
      <c r="A25" s="8" t="s">
        <v>30</v>
      </c>
      <c r="B25" s="8" t="s">
        <v>31</v>
      </c>
      <c r="C25" s="8" t="s">
        <v>113</v>
      </c>
      <c r="D25" s="8" t="s">
        <v>114</v>
      </c>
      <c r="E25" s="8" t="s">
        <v>40</v>
      </c>
      <c r="F25" s="8" t="s">
        <v>20</v>
      </c>
      <c r="G25" s="8" t="s">
        <v>35</v>
      </c>
      <c r="H25" s="8" t="s">
        <v>36</v>
      </c>
      <c r="I25" s="44">
        <v>20009.39</v>
      </c>
      <c r="J25" s="44">
        <v>2801.31</v>
      </c>
      <c r="K25" s="8" t="s">
        <v>42</v>
      </c>
      <c r="L25" s="44">
        <v>2381.1134999999999</v>
      </c>
      <c r="M25" s="44">
        <v>47.62227</v>
      </c>
      <c r="N25" s="44">
        <v>2333.4912300000001</v>
      </c>
    </row>
    <row r="26" spans="1:14" x14ac:dyDescent="0.25">
      <c r="A26" s="8" t="s">
        <v>30</v>
      </c>
      <c r="B26" s="8" t="s">
        <v>31</v>
      </c>
      <c r="C26" s="8" t="s">
        <v>115</v>
      </c>
      <c r="D26" s="8" t="s">
        <v>116</v>
      </c>
      <c r="E26" s="8" t="s">
        <v>40</v>
      </c>
      <c r="F26" s="8" t="s">
        <v>20</v>
      </c>
      <c r="G26" s="8" t="s">
        <v>35</v>
      </c>
      <c r="H26" s="8" t="s">
        <v>36</v>
      </c>
      <c r="I26" s="44">
        <v>80527.039999999994</v>
      </c>
      <c r="J26" s="44">
        <v>11273.78</v>
      </c>
      <c r="K26" s="8" t="s">
        <v>42</v>
      </c>
      <c r="L26" s="44">
        <v>9582.7129999999997</v>
      </c>
      <c r="M26" s="44">
        <v>191.65425999999999</v>
      </c>
      <c r="N26" s="44">
        <v>9391.0587400000004</v>
      </c>
    </row>
    <row r="27" spans="1:14" x14ac:dyDescent="0.25">
      <c r="A27" s="8" t="s">
        <v>30</v>
      </c>
      <c r="B27" s="8" t="s">
        <v>31</v>
      </c>
      <c r="C27" s="8" t="s">
        <v>117</v>
      </c>
      <c r="D27" s="8" t="s">
        <v>118</v>
      </c>
      <c r="E27" s="8" t="s">
        <v>40</v>
      </c>
      <c r="F27" s="8" t="s">
        <v>20</v>
      </c>
      <c r="G27" s="8" t="s">
        <v>35</v>
      </c>
      <c r="H27" s="8" t="s">
        <v>36</v>
      </c>
      <c r="I27" s="44">
        <v>229227.21</v>
      </c>
      <c r="J27" s="44">
        <v>34384.080000000002</v>
      </c>
      <c r="K27" s="8" t="s">
        <v>42</v>
      </c>
      <c r="L27" s="44">
        <v>29226.468000000001</v>
      </c>
      <c r="M27" s="44">
        <v>584.52936</v>
      </c>
      <c r="N27" s="44">
        <v>28641.93864</v>
      </c>
    </row>
    <row r="28" spans="1:14" x14ac:dyDescent="0.25">
      <c r="A28" s="8" t="s">
        <v>30</v>
      </c>
      <c r="B28" s="8" t="s">
        <v>31</v>
      </c>
      <c r="C28" s="8" t="s">
        <v>119</v>
      </c>
      <c r="D28" s="8" t="s">
        <v>120</v>
      </c>
      <c r="E28" s="8" t="s">
        <v>40</v>
      </c>
      <c r="F28" s="8" t="s">
        <v>38</v>
      </c>
      <c r="G28" s="8" t="s">
        <v>35</v>
      </c>
      <c r="H28" s="8" t="s">
        <v>36</v>
      </c>
      <c r="I28" s="44">
        <v>27256.81</v>
      </c>
      <c r="J28" s="44">
        <v>3815.96</v>
      </c>
      <c r="K28" s="8" t="s">
        <v>42</v>
      </c>
      <c r="L28" s="44">
        <v>3243.5659999999998</v>
      </c>
      <c r="M28" s="44">
        <v>64.871319999999997</v>
      </c>
      <c r="N28" s="44">
        <v>3178.6946799999996</v>
      </c>
    </row>
    <row r="29" spans="1:14" x14ac:dyDescent="0.25">
      <c r="A29" s="8" t="s">
        <v>30</v>
      </c>
      <c r="B29" s="8" t="s">
        <v>31</v>
      </c>
      <c r="C29" s="8" t="s">
        <v>121</v>
      </c>
      <c r="D29" s="8" t="s">
        <v>122</v>
      </c>
      <c r="E29" s="8" t="s">
        <v>40</v>
      </c>
      <c r="F29" s="8" t="s">
        <v>20</v>
      </c>
      <c r="G29" s="8" t="s">
        <v>35</v>
      </c>
      <c r="H29" s="8" t="s">
        <v>36</v>
      </c>
      <c r="I29" s="44">
        <v>30188.98</v>
      </c>
      <c r="J29" s="44">
        <v>4226.46</v>
      </c>
      <c r="K29" s="8" t="s">
        <v>42</v>
      </c>
      <c r="L29" s="44">
        <v>3592.491</v>
      </c>
      <c r="M29" s="44">
        <v>71.849820000000008</v>
      </c>
      <c r="N29" s="44">
        <v>3520.6411800000001</v>
      </c>
    </row>
    <row r="30" spans="1:14" x14ac:dyDescent="0.25">
      <c r="A30" s="8" t="s">
        <v>30</v>
      </c>
      <c r="B30" s="8" t="s">
        <v>31</v>
      </c>
      <c r="C30" s="8" t="s">
        <v>123</v>
      </c>
      <c r="D30" s="8" t="s">
        <v>124</v>
      </c>
      <c r="E30" s="8" t="s">
        <v>34</v>
      </c>
      <c r="F30" s="8" t="s">
        <v>20</v>
      </c>
      <c r="G30" s="8" t="s">
        <v>35</v>
      </c>
      <c r="H30" s="8" t="s">
        <v>36</v>
      </c>
      <c r="I30" s="44">
        <v>70183.38</v>
      </c>
      <c r="J30" s="44">
        <v>9123.84</v>
      </c>
      <c r="K30" s="8" t="s">
        <v>42</v>
      </c>
      <c r="L30" s="44">
        <v>7755.2640000000001</v>
      </c>
      <c r="M30" s="44">
        <v>155.10527999999999</v>
      </c>
      <c r="N30" s="44">
        <v>7600.1587200000004</v>
      </c>
    </row>
    <row r="31" spans="1:14" x14ac:dyDescent="0.25">
      <c r="A31" s="8" t="s">
        <v>30</v>
      </c>
      <c r="B31" s="8" t="s">
        <v>31</v>
      </c>
      <c r="C31" s="8" t="s">
        <v>123</v>
      </c>
      <c r="D31" s="8" t="s">
        <v>41</v>
      </c>
      <c r="E31" s="8" t="s">
        <v>34</v>
      </c>
      <c r="F31" s="8" t="s">
        <v>20</v>
      </c>
      <c r="G31" s="8" t="s">
        <v>35</v>
      </c>
      <c r="H31" s="8" t="s">
        <v>36</v>
      </c>
      <c r="I31" s="44">
        <v>5614.67</v>
      </c>
      <c r="J31" s="44">
        <v>729.91</v>
      </c>
      <c r="K31" s="8" t="s">
        <v>42</v>
      </c>
      <c r="L31" s="44">
        <v>620.42349999999999</v>
      </c>
      <c r="M31" s="44">
        <v>12.408469999999999</v>
      </c>
      <c r="N31" s="44">
        <v>608.01503000000002</v>
      </c>
    </row>
    <row r="32" spans="1:14" x14ac:dyDescent="0.25">
      <c r="A32" s="8" t="s">
        <v>30</v>
      </c>
      <c r="B32" s="8" t="s">
        <v>31</v>
      </c>
      <c r="C32" s="8" t="s">
        <v>125</v>
      </c>
      <c r="D32" s="8" t="s">
        <v>126</v>
      </c>
      <c r="E32" s="8" t="s">
        <v>34</v>
      </c>
      <c r="F32" s="8" t="s">
        <v>20</v>
      </c>
      <c r="G32" s="8" t="s">
        <v>35</v>
      </c>
      <c r="H32" s="8" t="s">
        <v>36</v>
      </c>
      <c r="I32" s="44">
        <v>19328.53</v>
      </c>
      <c r="J32" s="44">
        <v>2512.71</v>
      </c>
      <c r="K32" s="8" t="s">
        <v>42</v>
      </c>
      <c r="L32" s="44">
        <v>2135.8035</v>
      </c>
      <c r="M32" s="44">
        <v>42.716070000000002</v>
      </c>
      <c r="N32" s="44">
        <v>2093.08743</v>
      </c>
    </row>
    <row r="33" spans="1:15" x14ac:dyDescent="0.25">
      <c r="A33" s="8" t="s">
        <v>30</v>
      </c>
      <c r="B33" s="8" t="s">
        <v>31</v>
      </c>
      <c r="C33" s="8" t="s">
        <v>125</v>
      </c>
      <c r="D33" s="8" t="s">
        <v>41</v>
      </c>
      <c r="E33" s="8" t="s">
        <v>34</v>
      </c>
      <c r="F33" s="8" t="s">
        <v>20</v>
      </c>
      <c r="G33" s="8" t="s">
        <v>35</v>
      </c>
      <c r="H33" s="8" t="s">
        <v>36</v>
      </c>
      <c r="I33" s="44">
        <v>1913.52</v>
      </c>
      <c r="J33" s="44">
        <v>248.76</v>
      </c>
      <c r="K33" s="8" t="s">
        <v>42</v>
      </c>
      <c r="L33" s="44">
        <v>211.446</v>
      </c>
      <c r="M33" s="44">
        <v>4.2289200000000005</v>
      </c>
      <c r="N33" s="44">
        <v>207.21708000000001</v>
      </c>
    </row>
    <row r="34" spans="1:15" x14ac:dyDescent="0.25">
      <c r="A34" s="8" t="s">
        <v>30</v>
      </c>
      <c r="B34" s="8" t="s">
        <v>31</v>
      </c>
      <c r="C34" s="8" t="s">
        <v>127</v>
      </c>
      <c r="D34" s="8" t="s">
        <v>128</v>
      </c>
      <c r="E34" s="8" t="s">
        <v>34</v>
      </c>
      <c r="F34" s="8" t="s">
        <v>20</v>
      </c>
      <c r="G34" s="8" t="s">
        <v>35</v>
      </c>
      <c r="H34" s="8" t="s">
        <v>36</v>
      </c>
      <c r="I34" s="44">
        <v>17787.599999999999</v>
      </c>
      <c r="J34" s="44">
        <v>2312.39</v>
      </c>
      <c r="K34" s="8" t="s">
        <v>42</v>
      </c>
      <c r="L34" s="44">
        <v>1965.5314999999998</v>
      </c>
      <c r="M34" s="44">
        <v>39.310629999999996</v>
      </c>
      <c r="N34" s="44">
        <v>1926.2208699999999</v>
      </c>
    </row>
    <row r="35" spans="1:15" x14ac:dyDescent="0.25">
      <c r="J35" s="45" t="s">
        <v>4</v>
      </c>
      <c r="K35" s="45"/>
      <c r="L35" s="45">
        <f>SUM(L2:L34)</f>
        <v>224299.25800000003</v>
      </c>
      <c r="M35" s="45"/>
      <c r="N35" s="45"/>
    </row>
    <row r="36" spans="1:15" x14ac:dyDescent="0.25">
      <c r="J36" s="45" t="s">
        <v>5</v>
      </c>
      <c r="K36" s="45"/>
      <c r="L36" s="45">
        <f>+L35*13%</f>
        <v>29158.903540000007</v>
      </c>
      <c r="M36" s="45"/>
      <c r="N36" s="45"/>
    </row>
    <row r="37" spans="1:15" x14ac:dyDescent="0.25">
      <c r="J37" s="46" t="s">
        <v>2</v>
      </c>
      <c r="K37" s="46"/>
      <c r="L37" s="46">
        <f>+L35+L36</f>
        <v>253458.16154000003</v>
      </c>
      <c r="M37" s="46"/>
      <c r="N37" s="46"/>
    </row>
    <row r="38" spans="1:15" x14ac:dyDescent="0.25">
      <c r="J38" s="45" t="s">
        <v>6</v>
      </c>
      <c r="K38" s="45"/>
      <c r="L38" s="45">
        <f>+L35*2%</f>
        <v>4485.9851600000011</v>
      </c>
      <c r="M38" s="45"/>
      <c r="N38" s="45"/>
    </row>
    <row r="39" spans="1:15" x14ac:dyDescent="0.25">
      <c r="J39" s="45" t="s">
        <v>1</v>
      </c>
      <c r="K39" s="45"/>
      <c r="L39" s="45">
        <f>+L37-L38</f>
        <v>248972.17638000002</v>
      </c>
      <c r="M39" s="45"/>
      <c r="N39" s="45"/>
    </row>
    <row r="41" spans="1:15" x14ac:dyDescent="0.25">
      <c r="A41" s="9" t="s">
        <v>13</v>
      </c>
      <c r="B41" s="9" t="s">
        <v>23</v>
      </c>
      <c r="C41" s="9" t="s">
        <v>24</v>
      </c>
      <c r="D41" s="9" t="s">
        <v>25</v>
      </c>
      <c r="E41" s="9" t="s">
        <v>7</v>
      </c>
      <c r="F41" s="9" t="s">
        <v>15</v>
      </c>
      <c r="G41" s="9" t="s">
        <v>16</v>
      </c>
      <c r="H41" s="9" t="s">
        <v>8</v>
      </c>
      <c r="I41" s="10" t="s">
        <v>9</v>
      </c>
      <c r="J41" s="11" t="s">
        <v>26</v>
      </c>
      <c r="K41" s="10" t="s">
        <v>10</v>
      </c>
      <c r="L41" s="10" t="s">
        <v>33</v>
      </c>
      <c r="M41" s="10" t="s">
        <v>27</v>
      </c>
      <c r="N41" s="10" t="s">
        <v>11</v>
      </c>
      <c r="O41" s="9" t="s">
        <v>14</v>
      </c>
    </row>
    <row r="42" spans="1:15" x14ac:dyDescent="0.25">
      <c r="A42" s="8" t="s">
        <v>22</v>
      </c>
      <c r="B42" s="8" t="s">
        <v>28</v>
      </c>
      <c r="C42" s="8" t="s">
        <v>129</v>
      </c>
      <c r="D42" s="8" t="s">
        <v>130</v>
      </c>
      <c r="E42" s="8" t="s">
        <v>21</v>
      </c>
      <c r="F42" s="8" t="s">
        <v>29</v>
      </c>
      <c r="G42" s="8" t="s">
        <v>32</v>
      </c>
      <c r="H42" s="8" t="s">
        <v>19</v>
      </c>
      <c r="I42" s="44">
        <v>496.8</v>
      </c>
      <c r="J42" s="44">
        <v>67.06</v>
      </c>
      <c r="K42" s="8" t="s">
        <v>43</v>
      </c>
      <c r="L42" s="44">
        <v>60.354000000000006</v>
      </c>
      <c r="M42" s="44">
        <v>1.2070800000000002</v>
      </c>
      <c r="N42" s="44">
        <v>59.146920000000009</v>
      </c>
    </row>
    <row r="43" spans="1:15" x14ac:dyDescent="0.25">
      <c r="A43" s="8" t="s">
        <v>22</v>
      </c>
      <c r="B43" s="8" t="s">
        <v>28</v>
      </c>
      <c r="C43" s="8" t="s">
        <v>131</v>
      </c>
      <c r="D43" s="8" t="s">
        <v>132</v>
      </c>
      <c r="E43" s="8" t="s">
        <v>21</v>
      </c>
      <c r="F43" s="8" t="s">
        <v>20</v>
      </c>
      <c r="G43" s="8" t="s">
        <v>32</v>
      </c>
      <c r="H43" s="8" t="s">
        <v>19</v>
      </c>
      <c r="I43" s="44">
        <v>396.76</v>
      </c>
      <c r="J43" s="44">
        <v>53.56</v>
      </c>
      <c r="K43" s="8" t="s">
        <v>43</v>
      </c>
      <c r="L43" s="44">
        <v>48.204000000000001</v>
      </c>
      <c r="M43" s="44">
        <v>0.96408000000000005</v>
      </c>
      <c r="N43" s="44">
        <v>47.239919999999998</v>
      </c>
    </row>
    <row r="44" spans="1:15" x14ac:dyDescent="0.25">
      <c r="A44" s="8" t="s">
        <v>22</v>
      </c>
      <c r="B44" s="8" t="s">
        <v>28</v>
      </c>
      <c r="C44" s="8" t="s">
        <v>133</v>
      </c>
      <c r="D44" s="8" t="s">
        <v>134</v>
      </c>
      <c r="E44" s="8" t="s">
        <v>21</v>
      </c>
      <c r="F44" s="8" t="s">
        <v>20</v>
      </c>
      <c r="G44" s="8" t="s">
        <v>32</v>
      </c>
      <c r="H44" s="8" t="s">
        <v>19</v>
      </c>
      <c r="I44" s="44">
        <v>364.43</v>
      </c>
      <c r="J44" s="44">
        <v>49.19</v>
      </c>
      <c r="K44" s="8" t="s">
        <v>43</v>
      </c>
      <c r="L44" s="44">
        <v>44.271000000000001</v>
      </c>
      <c r="M44" s="44">
        <v>0.88541999999999998</v>
      </c>
      <c r="N44" s="44">
        <v>43.385579999999997</v>
      </c>
    </row>
    <row r="45" spans="1:15" x14ac:dyDescent="0.25">
      <c r="A45" s="8" t="s">
        <v>22</v>
      </c>
      <c r="B45" s="8" t="s">
        <v>28</v>
      </c>
      <c r="C45" s="8" t="s">
        <v>135</v>
      </c>
      <c r="D45" s="8" t="s">
        <v>136</v>
      </c>
      <c r="E45" s="8" t="s">
        <v>21</v>
      </c>
      <c r="F45" s="8" t="s">
        <v>20</v>
      </c>
      <c r="G45" s="8" t="s">
        <v>32</v>
      </c>
      <c r="H45" s="8" t="s">
        <v>19</v>
      </c>
      <c r="I45" s="44">
        <v>3199.13</v>
      </c>
      <c r="J45" s="44">
        <v>431.88</v>
      </c>
      <c r="K45" s="8" t="s">
        <v>43</v>
      </c>
      <c r="L45" s="44">
        <v>388.69200000000001</v>
      </c>
      <c r="M45" s="44">
        <v>7.7738400000000007</v>
      </c>
      <c r="N45" s="44">
        <v>380.91816</v>
      </c>
    </row>
    <row r="46" spans="1:15" x14ac:dyDescent="0.25">
      <c r="A46" s="8" t="s">
        <v>22</v>
      </c>
      <c r="B46" s="8" t="s">
        <v>28</v>
      </c>
      <c r="C46" s="8" t="s">
        <v>137</v>
      </c>
      <c r="D46" s="8" t="s">
        <v>138</v>
      </c>
      <c r="E46" s="8" t="s">
        <v>21</v>
      </c>
      <c r="F46" s="8" t="s">
        <v>20</v>
      </c>
      <c r="G46" s="8" t="s">
        <v>32</v>
      </c>
      <c r="H46" s="8" t="s">
        <v>19</v>
      </c>
      <c r="I46" s="44">
        <v>325.89999999999998</v>
      </c>
      <c r="J46" s="44">
        <v>43.99</v>
      </c>
      <c r="K46" s="8" t="s">
        <v>43</v>
      </c>
      <c r="L46" s="44">
        <v>39.591000000000001</v>
      </c>
      <c r="M46" s="44">
        <v>0.79182000000000008</v>
      </c>
      <c r="N46" s="44">
        <v>38.79918</v>
      </c>
    </row>
    <row r="47" spans="1:15" x14ac:dyDescent="0.25">
      <c r="A47" s="8" t="s">
        <v>22</v>
      </c>
      <c r="B47" s="8" t="s">
        <v>28</v>
      </c>
      <c r="C47" s="8" t="s">
        <v>139</v>
      </c>
      <c r="D47" s="8" t="s">
        <v>140</v>
      </c>
      <c r="E47" s="8" t="s">
        <v>21</v>
      </c>
      <c r="F47" s="8" t="s">
        <v>20</v>
      </c>
      <c r="G47" s="8" t="s">
        <v>32</v>
      </c>
      <c r="H47" s="8" t="s">
        <v>19</v>
      </c>
      <c r="I47" s="44">
        <v>153.47999999999999</v>
      </c>
      <c r="J47" s="44">
        <v>20.72</v>
      </c>
      <c r="K47" s="8" t="s">
        <v>43</v>
      </c>
      <c r="L47" s="44">
        <v>18.648</v>
      </c>
      <c r="M47" s="44">
        <v>0.37296000000000001</v>
      </c>
      <c r="N47" s="44">
        <v>18.275040000000001</v>
      </c>
    </row>
    <row r="48" spans="1:15" x14ac:dyDescent="0.25">
      <c r="A48" s="8" t="s">
        <v>22</v>
      </c>
      <c r="B48" s="8" t="s">
        <v>28</v>
      </c>
      <c r="C48" s="8" t="s">
        <v>141</v>
      </c>
      <c r="D48" s="8" t="s">
        <v>142</v>
      </c>
      <c r="E48" s="8" t="s">
        <v>21</v>
      </c>
      <c r="F48" s="8" t="s">
        <v>20</v>
      </c>
      <c r="G48" s="8" t="s">
        <v>32</v>
      </c>
      <c r="H48" s="8" t="s">
        <v>19</v>
      </c>
      <c r="I48" s="44">
        <v>1634.47</v>
      </c>
      <c r="J48" s="44">
        <v>220.65</v>
      </c>
      <c r="K48" s="8" t="s">
        <v>43</v>
      </c>
      <c r="L48" s="44">
        <v>198.58500000000001</v>
      </c>
      <c r="M48" s="44">
        <v>3.9717000000000002</v>
      </c>
      <c r="N48" s="44">
        <v>194.61330000000001</v>
      </c>
    </row>
    <row r="49" spans="1:14" x14ac:dyDescent="0.25">
      <c r="A49" s="8" t="s">
        <v>22</v>
      </c>
      <c r="B49" s="8" t="s">
        <v>28</v>
      </c>
      <c r="C49" s="8" t="s">
        <v>143</v>
      </c>
      <c r="D49" s="8" t="s">
        <v>144</v>
      </c>
      <c r="E49" s="8" t="s">
        <v>21</v>
      </c>
      <c r="F49" s="8" t="s">
        <v>20</v>
      </c>
      <c r="G49" s="8" t="s">
        <v>32</v>
      </c>
      <c r="H49" s="8" t="s">
        <v>19</v>
      </c>
      <c r="I49" s="44">
        <v>875.68</v>
      </c>
      <c r="J49" s="44">
        <v>118.21</v>
      </c>
      <c r="K49" s="8" t="s">
        <v>43</v>
      </c>
      <c r="L49" s="44">
        <v>106.389</v>
      </c>
      <c r="M49" s="44">
        <v>2.12778</v>
      </c>
      <c r="N49" s="44">
        <v>104.26121999999999</v>
      </c>
    </row>
    <row r="50" spans="1:14" x14ac:dyDescent="0.25">
      <c r="A50" s="8" t="s">
        <v>22</v>
      </c>
      <c r="B50" s="8" t="s">
        <v>28</v>
      </c>
      <c r="C50" s="8" t="s">
        <v>145</v>
      </c>
      <c r="D50" s="8" t="s">
        <v>146</v>
      </c>
      <c r="E50" s="8" t="s">
        <v>21</v>
      </c>
      <c r="F50" s="8" t="s">
        <v>20</v>
      </c>
      <c r="G50" s="8" t="s">
        <v>32</v>
      </c>
      <c r="H50" s="8" t="s">
        <v>19</v>
      </c>
      <c r="I50" s="44">
        <v>750.87</v>
      </c>
      <c r="J50" s="44">
        <v>101.36</v>
      </c>
      <c r="K50" s="8" t="s">
        <v>43</v>
      </c>
      <c r="L50" s="44">
        <v>91.224000000000004</v>
      </c>
      <c r="M50" s="44">
        <v>1.8244800000000001</v>
      </c>
      <c r="N50" s="44">
        <v>89.39952000000001</v>
      </c>
    </row>
    <row r="51" spans="1:14" x14ac:dyDescent="0.25">
      <c r="A51" s="8" t="s">
        <v>22</v>
      </c>
      <c r="B51" s="8" t="s">
        <v>28</v>
      </c>
      <c r="C51" s="8" t="s">
        <v>147</v>
      </c>
      <c r="D51" s="8" t="s">
        <v>148</v>
      </c>
      <c r="E51" s="8" t="s">
        <v>21</v>
      </c>
      <c r="F51" s="8" t="s">
        <v>20</v>
      </c>
      <c r="G51" s="8" t="s">
        <v>32</v>
      </c>
      <c r="H51" s="8" t="s">
        <v>19</v>
      </c>
      <c r="I51" s="44">
        <v>428.77</v>
      </c>
      <c r="J51" s="44">
        <v>57.88</v>
      </c>
      <c r="K51" s="8" t="s">
        <v>43</v>
      </c>
      <c r="L51" s="44">
        <v>52.092000000000006</v>
      </c>
      <c r="M51" s="44">
        <v>1.0418400000000001</v>
      </c>
      <c r="N51" s="44">
        <v>51.050160000000005</v>
      </c>
    </row>
    <row r="52" spans="1:14" x14ac:dyDescent="0.25">
      <c r="A52" s="8" t="s">
        <v>22</v>
      </c>
      <c r="B52" s="8" t="s">
        <v>28</v>
      </c>
      <c r="C52" s="8" t="s">
        <v>149</v>
      </c>
      <c r="D52" s="8" t="s">
        <v>150</v>
      </c>
      <c r="E52" s="8" t="s">
        <v>21</v>
      </c>
      <c r="F52" s="8" t="s">
        <v>20</v>
      </c>
      <c r="G52" s="8" t="s">
        <v>32</v>
      </c>
      <c r="H52" s="8" t="s">
        <v>19</v>
      </c>
      <c r="I52" s="44">
        <v>375.13</v>
      </c>
      <c r="J52" s="44">
        <v>50.64</v>
      </c>
      <c r="K52" s="8" t="s">
        <v>43</v>
      </c>
      <c r="L52" s="44">
        <v>45.576000000000001</v>
      </c>
      <c r="M52" s="44">
        <v>0.91152</v>
      </c>
      <c r="N52" s="44">
        <v>44.664479999999998</v>
      </c>
    </row>
    <row r="53" spans="1:14" x14ac:dyDescent="0.25">
      <c r="A53" s="8" t="s">
        <v>22</v>
      </c>
      <c r="B53" s="8" t="s">
        <v>28</v>
      </c>
      <c r="C53" s="8" t="s">
        <v>151</v>
      </c>
      <c r="D53" s="8" t="s">
        <v>142</v>
      </c>
      <c r="E53" s="8" t="s">
        <v>21</v>
      </c>
      <c r="F53" s="8" t="s">
        <v>20</v>
      </c>
      <c r="G53" s="8" t="s">
        <v>32</v>
      </c>
      <c r="H53" s="8" t="s">
        <v>19</v>
      </c>
      <c r="I53" s="44">
        <v>313.87</v>
      </c>
      <c r="J53" s="44">
        <v>14.12</v>
      </c>
      <c r="K53" s="8" t="s">
        <v>43</v>
      </c>
      <c r="L53" s="44">
        <v>12.708</v>
      </c>
      <c r="M53" s="44">
        <v>0.25416</v>
      </c>
      <c r="N53" s="44">
        <v>12.45384</v>
      </c>
    </row>
    <row r="54" spans="1:14" x14ac:dyDescent="0.25">
      <c r="A54" s="8" t="s">
        <v>30</v>
      </c>
      <c r="B54" s="8" t="s">
        <v>31</v>
      </c>
      <c r="C54" s="8" t="s">
        <v>152</v>
      </c>
      <c r="D54" s="8" t="s">
        <v>153</v>
      </c>
      <c r="E54" s="8" t="s">
        <v>21</v>
      </c>
      <c r="F54" s="8" t="s">
        <v>20</v>
      </c>
      <c r="G54" s="8" t="s">
        <v>35</v>
      </c>
      <c r="H54" s="8" t="s">
        <v>19</v>
      </c>
      <c r="I54" s="44">
        <v>49.38</v>
      </c>
      <c r="J54" s="44">
        <v>7.39</v>
      </c>
      <c r="K54" s="8" t="s">
        <v>42</v>
      </c>
      <c r="L54" s="44">
        <v>6.2814999999999994</v>
      </c>
      <c r="M54" s="44">
        <v>0.12562999999999999</v>
      </c>
      <c r="N54" s="44">
        <v>6.1558699999999993</v>
      </c>
    </row>
    <row r="55" spans="1:14" x14ac:dyDescent="0.25">
      <c r="A55" s="8" t="s">
        <v>30</v>
      </c>
      <c r="B55" s="8" t="s">
        <v>31</v>
      </c>
      <c r="C55" s="8" t="s">
        <v>154</v>
      </c>
      <c r="D55" s="8" t="s">
        <v>155</v>
      </c>
      <c r="E55" s="8" t="s">
        <v>44</v>
      </c>
      <c r="F55" s="8" t="s">
        <v>20</v>
      </c>
      <c r="G55" s="8" t="s">
        <v>32</v>
      </c>
      <c r="H55" s="8" t="s">
        <v>19</v>
      </c>
      <c r="I55" s="44">
        <v>776.33</v>
      </c>
      <c r="J55" s="44">
        <v>190.82</v>
      </c>
      <c r="K55" s="8" t="s">
        <v>42</v>
      </c>
      <c r="L55" s="44">
        <v>162.197</v>
      </c>
      <c r="M55" s="44">
        <v>3.2439400000000003</v>
      </c>
      <c r="N55" s="44">
        <v>158.95305999999999</v>
      </c>
    </row>
    <row r="56" spans="1:14" x14ac:dyDescent="0.25">
      <c r="A56" s="8" t="s">
        <v>30</v>
      </c>
      <c r="B56" s="8" t="s">
        <v>31</v>
      </c>
      <c r="C56" s="8" t="s">
        <v>156</v>
      </c>
      <c r="D56" s="8" t="s">
        <v>157</v>
      </c>
      <c r="E56" s="8" t="s">
        <v>44</v>
      </c>
      <c r="F56" s="8" t="s">
        <v>20</v>
      </c>
      <c r="G56" s="8" t="s">
        <v>32</v>
      </c>
      <c r="H56" s="8" t="s">
        <v>19</v>
      </c>
      <c r="I56" s="44">
        <v>541.53</v>
      </c>
      <c r="J56" s="44">
        <v>134.31</v>
      </c>
      <c r="K56" s="8" t="s">
        <v>42</v>
      </c>
      <c r="L56" s="44">
        <v>114.1635</v>
      </c>
      <c r="M56" s="44">
        <v>2.2832699999999999</v>
      </c>
      <c r="N56" s="44">
        <v>111.88023</v>
      </c>
    </row>
    <row r="57" spans="1:14" x14ac:dyDescent="0.25">
      <c r="A57" s="8" t="s">
        <v>30</v>
      </c>
      <c r="B57" s="8" t="s">
        <v>31</v>
      </c>
      <c r="C57" s="8" t="s">
        <v>158</v>
      </c>
      <c r="D57" s="8" t="s">
        <v>159</v>
      </c>
      <c r="E57" s="8" t="s">
        <v>44</v>
      </c>
      <c r="F57" s="8" t="s">
        <v>29</v>
      </c>
      <c r="G57" s="8" t="s">
        <v>32</v>
      </c>
      <c r="H57" s="8" t="s">
        <v>19</v>
      </c>
      <c r="I57" s="44">
        <v>330.75</v>
      </c>
      <c r="J57" s="44">
        <v>73.5</v>
      </c>
      <c r="K57" s="8" t="s">
        <v>42</v>
      </c>
      <c r="L57" s="44">
        <v>62.475000000000001</v>
      </c>
      <c r="M57" s="44">
        <v>1.2495000000000001</v>
      </c>
      <c r="N57" s="44">
        <v>61.225500000000004</v>
      </c>
    </row>
    <row r="58" spans="1:14" x14ac:dyDescent="0.25">
      <c r="A58" s="8" t="s">
        <v>30</v>
      </c>
      <c r="B58" s="8" t="s">
        <v>31</v>
      </c>
      <c r="C58" s="8" t="s">
        <v>160</v>
      </c>
      <c r="D58" s="8" t="s">
        <v>161</v>
      </c>
      <c r="E58" s="8" t="s">
        <v>44</v>
      </c>
      <c r="F58" s="8" t="s">
        <v>20</v>
      </c>
      <c r="G58" s="8" t="s">
        <v>32</v>
      </c>
      <c r="H58" s="8" t="s">
        <v>19</v>
      </c>
      <c r="I58" s="44">
        <v>797.78</v>
      </c>
      <c r="J58" s="44">
        <v>196.18</v>
      </c>
      <c r="K58" s="8" t="s">
        <v>42</v>
      </c>
      <c r="L58" s="44">
        <v>166.75300000000001</v>
      </c>
      <c r="M58" s="44">
        <v>3.3350600000000004</v>
      </c>
      <c r="N58" s="44">
        <v>163.41794000000002</v>
      </c>
    </row>
    <row r="59" spans="1:14" x14ac:dyDescent="0.25">
      <c r="A59" s="8" t="s">
        <v>30</v>
      </c>
      <c r="B59" s="8" t="s">
        <v>31</v>
      </c>
      <c r="C59" s="8" t="s">
        <v>162</v>
      </c>
      <c r="D59" s="8" t="s">
        <v>163</v>
      </c>
      <c r="E59" s="8" t="s">
        <v>44</v>
      </c>
      <c r="F59" s="8" t="s">
        <v>20</v>
      </c>
      <c r="G59" s="8" t="s">
        <v>32</v>
      </c>
      <c r="H59" s="8" t="s">
        <v>19</v>
      </c>
      <c r="I59" s="44">
        <v>724.9</v>
      </c>
      <c r="J59" s="44">
        <v>160.31</v>
      </c>
      <c r="K59" s="8" t="s">
        <v>42</v>
      </c>
      <c r="L59" s="44">
        <v>136.26349999999999</v>
      </c>
      <c r="M59" s="44">
        <v>2.7252700000000001</v>
      </c>
      <c r="N59" s="44">
        <v>133.53823</v>
      </c>
    </row>
    <row r="60" spans="1:14" x14ac:dyDescent="0.25">
      <c r="A60" s="8" t="s">
        <v>30</v>
      </c>
      <c r="B60" s="8" t="s">
        <v>31</v>
      </c>
      <c r="C60" s="8" t="s">
        <v>164</v>
      </c>
      <c r="D60" s="8" t="s">
        <v>165</v>
      </c>
      <c r="E60" s="8" t="s">
        <v>44</v>
      </c>
      <c r="F60" s="8" t="s">
        <v>20</v>
      </c>
      <c r="G60" s="8" t="s">
        <v>32</v>
      </c>
      <c r="H60" s="8" t="s">
        <v>19</v>
      </c>
      <c r="I60" s="44">
        <v>703.18</v>
      </c>
      <c r="J60" s="44">
        <v>155.41999999999999</v>
      </c>
      <c r="K60" s="8" t="s">
        <v>42</v>
      </c>
      <c r="L60" s="44">
        <v>132.107</v>
      </c>
      <c r="M60" s="44">
        <v>2.6421399999999999</v>
      </c>
      <c r="N60" s="44">
        <v>129.46485999999999</v>
      </c>
    </row>
    <row r="61" spans="1:14" x14ac:dyDescent="0.25">
      <c r="A61" s="8" t="s">
        <v>30</v>
      </c>
      <c r="B61" s="8" t="s">
        <v>31</v>
      </c>
      <c r="C61" s="8" t="s">
        <v>71</v>
      </c>
      <c r="D61" s="8" t="s">
        <v>72</v>
      </c>
      <c r="E61" s="8" t="s">
        <v>44</v>
      </c>
      <c r="F61" s="8" t="s">
        <v>20</v>
      </c>
      <c r="G61" s="8" t="s">
        <v>32</v>
      </c>
      <c r="H61" s="8" t="s">
        <v>19</v>
      </c>
      <c r="I61" s="44">
        <v>601.20000000000005</v>
      </c>
      <c r="J61" s="44">
        <v>134.35</v>
      </c>
      <c r="K61" s="8" t="s">
        <v>42</v>
      </c>
      <c r="L61" s="44">
        <v>114.19749999999999</v>
      </c>
      <c r="M61" s="44">
        <v>2.2839499999999999</v>
      </c>
      <c r="N61" s="44">
        <v>111.91354999999999</v>
      </c>
    </row>
    <row r="62" spans="1:14" x14ac:dyDescent="0.25">
      <c r="A62" s="8" t="s">
        <v>30</v>
      </c>
      <c r="B62" s="8" t="s">
        <v>31</v>
      </c>
      <c r="C62" s="8" t="s">
        <v>166</v>
      </c>
      <c r="D62" s="8" t="s">
        <v>167</v>
      </c>
      <c r="E62" s="8" t="s">
        <v>37</v>
      </c>
      <c r="F62" s="8" t="s">
        <v>38</v>
      </c>
      <c r="G62" s="8" t="s">
        <v>35</v>
      </c>
      <c r="H62" s="8" t="s">
        <v>19</v>
      </c>
      <c r="I62" s="44">
        <v>211.11</v>
      </c>
      <c r="J62" s="44">
        <v>31.66</v>
      </c>
      <c r="K62" s="8" t="s">
        <v>42</v>
      </c>
      <c r="L62" s="44">
        <v>26.910999999999998</v>
      </c>
      <c r="M62" s="44">
        <v>0.53821999999999992</v>
      </c>
      <c r="N62" s="44">
        <v>26.372779999999999</v>
      </c>
    </row>
    <row r="63" spans="1:14" x14ac:dyDescent="0.25">
      <c r="A63" s="8" t="s">
        <v>30</v>
      </c>
      <c r="B63" s="8" t="s">
        <v>31</v>
      </c>
      <c r="C63" s="8" t="s">
        <v>168</v>
      </c>
      <c r="D63" s="8" t="s">
        <v>169</v>
      </c>
      <c r="E63" s="8" t="s">
        <v>37</v>
      </c>
      <c r="F63" s="8" t="s">
        <v>20</v>
      </c>
      <c r="G63" s="8" t="s">
        <v>35</v>
      </c>
      <c r="H63" s="8" t="s">
        <v>19</v>
      </c>
      <c r="I63" s="44">
        <v>645.77</v>
      </c>
      <c r="J63" s="44">
        <v>96.82</v>
      </c>
      <c r="K63" s="8" t="s">
        <v>42</v>
      </c>
      <c r="L63" s="44">
        <v>82.296999999999997</v>
      </c>
      <c r="M63" s="44">
        <v>1.64594</v>
      </c>
      <c r="N63" s="44">
        <v>80.651060000000001</v>
      </c>
    </row>
    <row r="64" spans="1:14" x14ac:dyDescent="0.25">
      <c r="A64" s="8" t="s">
        <v>30</v>
      </c>
      <c r="B64" s="8" t="s">
        <v>31</v>
      </c>
      <c r="C64" s="8" t="s">
        <v>170</v>
      </c>
      <c r="D64" s="8" t="s">
        <v>171</v>
      </c>
      <c r="E64" s="8" t="s">
        <v>37</v>
      </c>
      <c r="F64" s="8" t="s">
        <v>20</v>
      </c>
      <c r="G64" s="8" t="s">
        <v>32</v>
      </c>
      <c r="H64" s="8" t="s">
        <v>19</v>
      </c>
      <c r="I64" s="44">
        <v>3338.23</v>
      </c>
      <c r="J64" s="44">
        <v>867.94</v>
      </c>
      <c r="K64" s="8" t="s">
        <v>42</v>
      </c>
      <c r="L64" s="44">
        <v>737.74900000000002</v>
      </c>
      <c r="M64" s="44">
        <v>14.754980000000002</v>
      </c>
      <c r="N64" s="44">
        <v>722.99401999999998</v>
      </c>
    </row>
    <row r="65" spans="1:14" x14ac:dyDescent="0.25">
      <c r="A65" s="8" t="s">
        <v>30</v>
      </c>
      <c r="B65" s="8" t="s">
        <v>31</v>
      </c>
      <c r="C65" s="8" t="s">
        <v>172</v>
      </c>
      <c r="D65" s="8" t="s">
        <v>173</v>
      </c>
      <c r="E65" s="8" t="s">
        <v>45</v>
      </c>
      <c r="F65" s="8" t="s">
        <v>20</v>
      </c>
      <c r="G65" s="8" t="s">
        <v>35</v>
      </c>
      <c r="H65" s="8" t="s">
        <v>19</v>
      </c>
      <c r="I65" s="44">
        <v>249.91</v>
      </c>
      <c r="J65" s="44">
        <v>52.49</v>
      </c>
      <c r="K65" s="8" t="s">
        <v>42</v>
      </c>
      <c r="L65" s="44">
        <v>44.616500000000002</v>
      </c>
      <c r="M65" s="44">
        <v>0.89233000000000007</v>
      </c>
      <c r="N65" s="44">
        <v>43.724170000000001</v>
      </c>
    </row>
    <row r="66" spans="1:14" x14ac:dyDescent="0.25">
      <c r="A66" s="8" t="s">
        <v>30</v>
      </c>
      <c r="B66" s="8" t="s">
        <v>31</v>
      </c>
      <c r="C66" s="8" t="s">
        <v>174</v>
      </c>
      <c r="D66" s="8" t="s">
        <v>173</v>
      </c>
      <c r="E66" s="8" t="s">
        <v>45</v>
      </c>
      <c r="F66" s="8" t="s">
        <v>20</v>
      </c>
      <c r="G66" s="8" t="s">
        <v>35</v>
      </c>
      <c r="H66" s="8" t="s">
        <v>19</v>
      </c>
      <c r="I66" s="44">
        <v>249.91</v>
      </c>
      <c r="J66" s="44">
        <v>52.49</v>
      </c>
      <c r="K66" s="8" t="s">
        <v>42</v>
      </c>
      <c r="L66" s="44">
        <v>44.616500000000002</v>
      </c>
      <c r="M66" s="44">
        <v>0.89233000000000007</v>
      </c>
      <c r="N66" s="44">
        <v>43.724170000000001</v>
      </c>
    </row>
    <row r="67" spans="1:14" x14ac:dyDescent="0.25">
      <c r="A67" s="8" t="s">
        <v>30</v>
      </c>
      <c r="B67" s="8" t="s">
        <v>31</v>
      </c>
      <c r="C67" s="8" t="s">
        <v>175</v>
      </c>
      <c r="D67" s="8" t="s">
        <v>176</v>
      </c>
      <c r="E67" s="8" t="s">
        <v>45</v>
      </c>
      <c r="F67" s="8" t="s">
        <v>20</v>
      </c>
      <c r="G67" s="8" t="s">
        <v>35</v>
      </c>
      <c r="H67" s="8" t="s">
        <v>19</v>
      </c>
      <c r="I67" s="44">
        <v>1087.68</v>
      </c>
      <c r="J67" s="44">
        <v>152.27000000000001</v>
      </c>
      <c r="K67" s="8" t="s">
        <v>42</v>
      </c>
      <c r="L67" s="44">
        <v>129.42950000000002</v>
      </c>
      <c r="M67" s="44">
        <v>2.5885900000000004</v>
      </c>
      <c r="N67" s="44">
        <v>126.84091000000002</v>
      </c>
    </row>
    <row r="68" spans="1:14" x14ac:dyDescent="0.25">
      <c r="A68" s="8" t="s">
        <v>30</v>
      </c>
      <c r="B68" s="8" t="s">
        <v>31</v>
      </c>
      <c r="C68" s="8" t="s">
        <v>177</v>
      </c>
      <c r="D68" s="8" t="s">
        <v>178</v>
      </c>
      <c r="E68" s="8" t="s">
        <v>39</v>
      </c>
      <c r="F68" s="8" t="s">
        <v>20</v>
      </c>
      <c r="G68" s="8" t="s">
        <v>35</v>
      </c>
      <c r="H68" s="8" t="s">
        <v>19</v>
      </c>
      <c r="I68" s="44">
        <v>239.34</v>
      </c>
      <c r="J68" s="44">
        <v>43.1</v>
      </c>
      <c r="K68" s="8" t="s">
        <v>42</v>
      </c>
      <c r="L68" s="44">
        <v>36.634999999999998</v>
      </c>
      <c r="M68" s="44">
        <v>0.73270000000000002</v>
      </c>
      <c r="N68" s="44">
        <v>35.902299999999997</v>
      </c>
    </row>
    <row r="69" spans="1:14" x14ac:dyDescent="0.25">
      <c r="A69" s="8" t="s">
        <v>30</v>
      </c>
      <c r="B69" s="8" t="s">
        <v>31</v>
      </c>
      <c r="C69" s="8" t="s">
        <v>179</v>
      </c>
      <c r="D69" s="8" t="s">
        <v>180</v>
      </c>
      <c r="E69" s="8" t="s">
        <v>39</v>
      </c>
      <c r="F69" s="8" t="s">
        <v>20</v>
      </c>
      <c r="G69" s="8" t="s">
        <v>35</v>
      </c>
      <c r="H69" s="8" t="s">
        <v>19</v>
      </c>
      <c r="I69" s="44">
        <v>334.44</v>
      </c>
      <c r="J69" s="44">
        <v>50.17</v>
      </c>
      <c r="K69" s="8" t="s">
        <v>42</v>
      </c>
      <c r="L69" s="44">
        <v>42.644500000000001</v>
      </c>
      <c r="M69" s="44">
        <v>0.85289000000000004</v>
      </c>
      <c r="N69" s="44">
        <v>41.791609999999999</v>
      </c>
    </row>
    <row r="70" spans="1:14" x14ac:dyDescent="0.25">
      <c r="A70" s="8" t="s">
        <v>30</v>
      </c>
      <c r="B70" s="8" t="s">
        <v>31</v>
      </c>
      <c r="C70" s="8" t="s">
        <v>181</v>
      </c>
      <c r="D70" s="8" t="s">
        <v>182</v>
      </c>
      <c r="E70" s="8" t="s">
        <v>40</v>
      </c>
      <c r="F70" s="8" t="s">
        <v>20</v>
      </c>
      <c r="G70" s="8" t="s">
        <v>35</v>
      </c>
      <c r="H70" s="8" t="s">
        <v>19</v>
      </c>
      <c r="I70" s="44">
        <v>96.33</v>
      </c>
      <c r="J70" s="44">
        <v>20.23</v>
      </c>
      <c r="K70" s="8" t="s">
        <v>42</v>
      </c>
      <c r="L70" s="44">
        <v>17.195499999999999</v>
      </c>
      <c r="M70" s="44">
        <v>0.34390999999999999</v>
      </c>
      <c r="N70" s="44">
        <v>16.851589999999998</v>
      </c>
    </row>
    <row r="71" spans="1:14" x14ac:dyDescent="0.25">
      <c r="A71" s="8" t="s">
        <v>30</v>
      </c>
      <c r="B71" s="8" t="s">
        <v>31</v>
      </c>
      <c r="C71" s="8" t="s">
        <v>183</v>
      </c>
      <c r="D71" s="8" t="s">
        <v>184</v>
      </c>
      <c r="E71" s="8" t="s">
        <v>40</v>
      </c>
      <c r="F71" s="8" t="s">
        <v>20</v>
      </c>
      <c r="G71" s="8" t="s">
        <v>35</v>
      </c>
      <c r="H71" s="8" t="s">
        <v>19</v>
      </c>
      <c r="I71" s="44">
        <v>2277.3000000000002</v>
      </c>
      <c r="J71" s="44">
        <v>478.24</v>
      </c>
      <c r="K71" s="8" t="s">
        <v>42</v>
      </c>
      <c r="L71" s="44">
        <v>406.50400000000002</v>
      </c>
      <c r="M71" s="44">
        <v>8.1300800000000013</v>
      </c>
      <c r="N71" s="44">
        <v>398.37392</v>
      </c>
    </row>
    <row r="72" spans="1:14" x14ac:dyDescent="0.25">
      <c r="A72" s="8" t="s">
        <v>30</v>
      </c>
      <c r="B72" s="8" t="s">
        <v>31</v>
      </c>
      <c r="C72" s="8" t="s">
        <v>185</v>
      </c>
      <c r="D72" s="8" t="s">
        <v>186</v>
      </c>
      <c r="E72" s="8" t="s">
        <v>40</v>
      </c>
      <c r="F72" s="8" t="s">
        <v>20</v>
      </c>
      <c r="G72" s="8" t="s">
        <v>35</v>
      </c>
      <c r="H72" s="8" t="s">
        <v>19</v>
      </c>
      <c r="I72" s="44">
        <v>82.42</v>
      </c>
      <c r="J72" s="44">
        <v>17.32</v>
      </c>
      <c r="K72" s="8" t="s">
        <v>42</v>
      </c>
      <c r="L72" s="44">
        <v>14.722</v>
      </c>
      <c r="M72" s="44">
        <v>0.29443999999999998</v>
      </c>
      <c r="N72" s="44">
        <v>14.42756</v>
      </c>
    </row>
    <row r="73" spans="1:14" x14ac:dyDescent="0.25">
      <c r="A73" s="8" t="s">
        <v>30</v>
      </c>
      <c r="B73" s="8" t="s">
        <v>31</v>
      </c>
      <c r="C73" s="8" t="s">
        <v>187</v>
      </c>
      <c r="D73" s="8" t="s">
        <v>188</v>
      </c>
      <c r="E73" s="8" t="s">
        <v>34</v>
      </c>
      <c r="F73" s="8" t="s">
        <v>20</v>
      </c>
      <c r="G73" s="8" t="s">
        <v>35</v>
      </c>
      <c r="H73" s="8" t="s">
        <v>19</v>
      </c>
      <c r="I73" s="44">
        <v>47.12</v>
      </c>
      <c r="J73" s="44">
        <v>6.13</v>
      </c>
      <c r="K73" s="8" t="s">
        <v>42</v>
      </c>
      <c r="L73" s="44">
        <v>5.2104999999999997</v>
      </c>
      <c r="M73" s="44">
        <v>0.10421</v>
      </c>
      <c r="N73" s="44">
        <v>5.1062899999999996</v>
      </c>
    </row>
    <row r="74" spans="1:14" x14ac:dyDescent="0.25">
      <c r="A74" s="8" t="s">
        <v>30</v>
      </c>
      <c r="B74" s="8" t="s">
        <v>31</v>
      </c>
      <c r="C74" s="8" t="s">
        <v>187</v>
      </c>
      <c r="D74" s="8" t="s">
        <v>41</v>
      </c>
      <c r="E74" s="8" t="s">
        <v>34</v>
      </c>
      <c r="F74" s="8" t="s">
        <v>20</v>
      </c>
      <c r="G74" s="8" t="s">
        <v>35</v>
      </c>
      <c r="H74" s="8" t="s">
        <v>19</v>
      </c>
      <c r="I74" s="44">
        <v>4.67</v>
      </c>
      <c r="J74" s="44">
        <v>0.61</v>
      </c>
      <c r="K74" s="8" t="s">
        <v>42</v>
      </c>
      <c r="L74" s="44">
        <v>0.51849999999999996</v>
      </c>
      <c r="M74" s="44">
        <v>1.0369999999999999E-2</v>
      </c>
      <c r="N74" s="44">
        <v>0.50812999999999997</v>
      </c>
    </row>
    <row r="75" spans="1:14" x14ac:dyDescent="0.25">
      <c r="A75" s="8" t="s">
        <v>30</v>
      </c>
      <c r="B75" s="8" t="s">
        <v>31</v>
      </c>
      <c r="C75" s="8" t="s">
        <v>189</v>
      </c>
      <c r="D75" s="8" t="s">
        <v>190</v>
      </c>
      <c r="E75" s="8" t="s">
        <v>34</v>
      </c>
      <c r="F75" s="8" t="s">
        <v>20</v>
      </c>
      <c r="G75" s="8" t="s">
        <v>35</v>
      </c>
      <c r="H75" s="8" t="s">
        <v>19</v>
      </c>
      <c r="I75" s="44">
        <v>369.12</v>
      </c>
      <c r="J75" s="44">
        <v>47.99</v>
      </c>
      <c r="K75" s="8" t="s">
        <v>42</v>
      </c>
      <c r="L75" s="44">
        <v>40.791499999999999</v>
      </c>
      <c r="M75" s="44">
        <v>0.81583000000000006</v>
      </c>
      <c r="N75" s="44">
        <v>39.975670000000001</v>
      </c>
    </row>
    <row r="76" spans="1:14" x14ac:dyDescent="0.25">
      <c r="J76" s="45" t="s">
        <v>4</v>
      </c>
      <c r="K76" s="45"/>
      <c r="L76" s="45">
        <f>SUM(L42:L75)</f>
        <v>3630.6130000000007</v>
      </c>
      <c r="M76" s="45"/>
      <c r="N76" s="45"/>
    </row>
    <row r="77" spans="1:14" x14ac:dyDescent="0.25">
      <c r="J77" s="45" t="s">
        <v>5</v>
      </c>
      <c r="K77" s="45"/>
      <c r="L77" s="45">
        <f>+L76*13%</f>
        <v>471.97969000000012</v>
      </c>
      <c r="M77" s="45"/>
      <c r="N77" s="45"/>
    </row>
    <row r="78" spans="1:14" x14ac:dyDescent="0.25">
      <c r="J78" s="46" t="s">
        <v>2</v>
      </c>
      <c r="K78" s="46"/>
      <c r="L78" s="46">
        <f>+L76+L77</f>
        <v>4102.5926900000013</v>
      </c>
      <c r="M78" s="46"/>
      <c r="N78" s="46"/>
    </row>
    <row r="79" spans="1:14" x14ac:dyDescent="0.25">
      <c r="J79" s="45" t="s">
        <v>6</v>
      </c>
      <c r="K79" s="45"/>
      <c r="L79" s="45">
        <f>+L76*2%</f>
        <v>72.61226000000002</v>
      </c>
      <c r="M79" s="45"/>
      <c r="N79" s="45"/>
    </row>
    <row r="80" spans="1:14" x14ac:dyDescent="0.25">
      <c r="J80" s="45" t="s">
        <v>1</v>
      </c>
      <c r="K80" s="45"/>
      <c r="L80" s="45">
        <f>+L78-L79</f>
        <v>4029.9804300000014</v>
      </c>
      <c r="M80" s="45"/>
      <c r="N80" s="45"/>
    </row>
  </sheetData>
  <mergeCells count="20">
    <mergeCell ref="J80:K80"/>
    <mergeCell ref="L80:N80"/>
    <mergeCell ref="J77:K77"/>
    <mergeCell ref="L77:N77"/>
    <mergeCell ref="J78:K78"/>
    <mergeCell ref="L78:N78"/>
    <mergeCell ref="J79:K79"/>
    <mergeCell ref="L79:N79"/>
    <mergeCell ref="J38:K38"/>
    <mergeCell ref="L38:N38"/>
    <mergeCell ref="J39:K39"/>
    <mergeCell ref="L39:N39"/>
    <mergeCell ref="J76:K76"/>
    <mergeCell ref="L76:N76"/>
    <mergeCell ref="J35:K35"/>
    <mergeCell ref="L35:N35"/>
    <mergeCell ref="J36:K36"/>
    <mergeCell ref="L36:N36"/>
    <mergeCell ref="J37:K37"/>
    <mergeCell ref="L37:N37"/>
  </mergeCells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4:L14"/>
  <sheetViews>
    <sheetView tabSelected="1" workbookViewId="0">
      <selection activeCell="L15" sqref="L15"/>
    </sheetView>
  </sheetViews>
  <sheetFormatPr baseColWidth="10" defaultColWidth="11.42578125" defaultRowHeight="15" x14ac:dyDescent="0.25"/>
  <cols>
    <col min="5" max="5" width="25.85546875" bestFit="1" customWidth="1"/>
    <col min="6" max="6" width="15.85546875" bestFit="1" customWidth="1"/>
    <col min="7" max="7" width="12.5703125" customWidth="1"/>
    <col min="8" max="8" width="15.85546875" bestFit="1" customWidth="1"/>
    <col min="11" max="11" width="34.42578125" bestFit="1" customWidth="1"/>
  </cols>
  <sheetData>
    <row r="4" spans="2:12" x14ac:dyDescent="0.25">
      <c r="B4" s="51" t="s">
        <v>191</v>
      </c>
      <c r="C4" s="52"/>
      <c r="D4" s="52"/>
      <c r="E4" s="52"/>
      <c r="F4" s="53"/>
      <c r="H4" s="51" t="str">
        <f>+B4</f>
        <v>RESUMEN DE PAGOS -IQ Julio</v>
      </c>
      <c r="I4" s="52"/>
      <c r="J4" s="52"/>
      <c r="K4" s="52"/>
      <c r="L4" s="53"/>
    </row>
    <row r="5" spans="2:12" x14ac:dyDescent="0.25">
      <c r="B5" s="54"/>
      <c r="C5" s="55"/>
      <c r="D5" s="55"/>
      <c r="E5" s="55"/>
      <c r="F5" s="56"/>
      <c r="H5" s="54"/>
      <c r="I5" s="55"/>
      <c r="J5" s="55"/>
      <c r="K5" s="55"/>
      <c r="L5" s="56"/>
    </row>
    <row r="6" spans="2:12" x14ac:dyDescent="0.25">
      <c r="B6" s="57" t="s">
        <v>0</v>
      </c>
      <c r="C6" s="59"/>
      <c r="D6" s="58"/>
      <c r="E6" s="57" t="s">
        <v>3</v>
      </c>
      <c r="F6" s="58"/>
      <c r="H6" s="57" t="s">
        <v>0</v>
      </c>
      <c r="I6" s="59"/>
      <c r="J6" s="58"/>
      <c r="K6" s="57" t="s">
        <v>12</v>
      </c>
      <c r="L6" s="58"/>
    </row>
    <row r="7" spans="2:12" x14ac:dyDescent="0.25">
      <c r="B7" s="47" t="s">
        <v>17</v>
      </c>
      <c r="C7" s="47"/>
      <c r="D7" s="48"/>
      <c r="E7" s="1" t="s">
        <v>4</v>
      </c>
      <c r="F7" s="2">
        <f>Detalle!L35</f>
        <v>224299.25800000003</v>
      </c>
      <c r="H7" s="47" t="s">
        <v>18</v>
      </c>
      <c r="I7" s="47"/>
      <c r="J7" s="48"/>
      <c r="K7" s="1" t="s">
        <v>4</v>
      </c>
      <c r="L7" s="2">
        <f>Detalle!L76</f>
        <v>3630.6130000000007</v>
      </c>
    </row>
    <row r="8" spans="2:12" x14ac:dyDescent="0.25">
      <c r="B8" s="49"/>
      <c r="C8" s="49"/>
      <c r="D8" s="50"/>
      <c r="E8" s="1" t="s">
        <v>5</v>
      </c>
      <c r="F8" s="2">
        <f>+F7*13%</f>
        <v>29158.903540000007</v>
      </c>
      <c r="H8" s="49"/>
      <c r="I8" s="49"/>
      <c r="J8" s="50"/>
      <c r="K8" s="3" t="s">
        <v>67</v>
      </c>
      <c r="L8" s="4">
        <f>REBAJO!D7</f>
        <v>674.91715399610143</v>
      </c>
    </row>
    <row r="9" spans="2:12" x14ac:dyDescent="0.25">
      <c r="B9" s="49"/>
      <c r="C9" s="49"/>
      <c r="D9" s="50"/>
      <c r="E9" s="3" t="s">
        <v>2</v>
      </c>
      <c r="F9" s="4">
        <f>F7+F8</f>
        <v>253458.16154000003</v>
      </c>
      <c r="H9" s="49"/>
      <c r="I9" s="49"/>
      <c r="J9" s="50"/>
      <c r="K9" t="s">
        <v>68</v>
      </c>
      <c r="L9" s="2">
        <f>L7-L8</f>
        <v>2955.6958460038995</v>
      </c>
    </row>
    <row r="10" spans="2:12" x14ac:dyDescent="0.25">
      <c r="B10" s="49"/>
      <c r="C10" s="49"/>
      <c r="D10" s="50"/>
      <c r="E10" s="1" t="s">
        <v>6</v>
      </c>
      <c r="F10" s="2">
        <f>F7*2%</f>
        <v>4485.9851600000011</v>
      </c>
      <c r="H10" s="49"/>
      <c r="I10" s="49"/>
      <c r="J10" s="50"/>
      <c r="K10" s="1" t="s">
        <v>5</v>
      </c>
      <c r="L10" s="2">
        <f>+L9*13%</f>
        <v>384.24045998050696</v>
      </c>
    </row>
    <row r="11" spans="2:12" x14ac:dyDescent="0.25">
      <c r="B11" s="49"/>
      <c r="C11" s="49"/>
      <c r="D11" s="50"/>
      <c r="E11" s="1" t="s">
        <v>1</v>
      </c>
      <c r="F11" s="6">
        <f>+F9-F10</f>
        <v>248972.17638000002</v>
      </c>
      <c r="H11" s="49"/>
      <c r="I11" s="49"/>
      <c r="J11" s="50"/>
      <c r="K11" s="3" t="s">
        <v>2</v>
      </c>
      <c r="L11" s="4">
        <f>+L9+L10</f>
        <v>3339.9363059844063</v>
      </c>
    </row>
    <row r="12" spans="2:12" x14ac:dyDescent="0.25">
      <c r="F12" s="7"/>
      <c r="H12" s="49"/>
      <c r="I12" s="49"/>
      <c r="J12" s="50"/>
      <c r="K12" s="1" t="s">
        <v>6</v>
      </c>
      <c r="L12" s="2">
        <f>+L9*2%</f>
        <v>59.11391692007799</v>
      </c>
    </row>
    <row r="13" spans="2:12" x14ac:dyDescent="0.25">
      <c r="F13" s="7"/>
      <c r="H13" s="49"/>
      <c r="I13" s="49"/>
      <c r="J13" s="50"/>
      <c r="K13" s="3" t="s">
        <v>193</v>
      </c>
      <c r="L13" s="4">
        <f>136.23</f>
        <v>136.22999999999999</v>
      </c>
    </row>
    <row r="14" spans="2:12" x14ac:dyDescent="0.25">
      <c r="H14" s="49"/>
      <c r="I14" s="49"/>
      <c r="J14" s="50"/>
      <c r="K14" s="1" t="s">
        <v>1</v>
      </c>
      <c r="L14" s="2">
        <f>+L11-L12-L13</f>
        <v>3144.5923890643285</v>
      </c>
    </row>
  </sheetData>
  <mergeCells count="8">
    <mergeCell ref="B7:D11"/>
    <mergeCell ref="H7:J14"/>
    <mergeCell ref="B4:F5"/>
    <mergeCell ref="H4:L5"/>
    <mergeCell ref="E6:F6"/>
    <mergeCell ref="B6:D6"/>
    <mergeCell ref="H6:J6"/>
    <mergeCell ref="K6:L6"/>
  </mergeCells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E54EF-FFD0-4452-9211-66FE696D2EB5}">
  <dimension ref="A1:L24"/>
  <sheetViews>
    <sheetView workbookViewId="0">
      <selection activeCell="D17" sqref="D17"/>
    </sheetView>
  </sheetViews>
  <sheetFormatPr baseColWidth="10" defaultColWidth="9.140625" defaultRowHeight="15" x14ac:dyDescent="0.25"/>
  <cols>
    <col min="1" max="1" width="27.5703125" bestFit="1" customWidth="1"/>
    <col min="2" max="2" width="28" customWidth="1"/>
    <col min="3" max="3" width="25.140625" bestFit="1" customWidth="1"/>
    <col min="4" max="4" width="14.42578125" bestFit="1" customWidth="1"/>
    <col min="5" max="5" width="19.5703125" bestFit="1" customWidth="1"/>
    <col min="6" max="6" width="15" bestFit="1" customWidth="1"/>
    <col min="7" max="7" width="19.28515625" bestFit="1" customWidth="1"/>
    <col min="8" max="8" width="13.42578125" bestFit="1" customWidth="1"/>
    <col min="9" max="9" width="13.28515625" bestFit="1" customWidth="1"/>
    <col min="10" max="10" width="13.140625" bestFit="1" customWidth="1"/>
    <col min="11" max="11" width="13.28515625" bestFit="1" customWidth="1"/>
    <col min="12" max="12" width="13.140625" bestFit="1" customWidth="1"/>
    <col min="13" max="13" width="8.5703125" bestFit="1" customWidth="1"/>
    <col min="14" max="14" width="52.7109375" bestFit="1" customWidth="1"/>
  </cols>
  <sheetData>
    <row r="1" spans="1:12" x14ac:dyDescent="0.25">
      <c r="A1" s="60" t="s">
        <v>46</v>
      </c>
      <c r="B1" s="61"/>
      <c r="C1" s="61"/>
      <c r="D1" s="61"/>
      <c r="E1" s="62"/>
      <c r="F1">
        <v>456</v>
      </c>
      <c r="G1" t="s">
        <v>192</v>
      </c>
    </row>
    <row r="2" spans="1:12" x14ac:dyDescent="0.25">
      <c r="A2" s="20"/>
      <c r="B2" s="21"/>
      <c r="C2" s="22" t="s">
        <v>47</v>
      </c>
      <c r="D2" s="22" t="s">
        <v>48</v>
      </c>
      <c r="E2" s="23"/>
    </row>
    <row r="3" spans="1:12" x14ac:dyDescent="0.25">
      <c r="A3" s="15"/>
      <c r="B3" s="15" t="str">
        <f>A15</f>
        <v>Yerika Vega</v>
      </c>
      <c r="C3" s="5">
        <f>I15</f>
        <v>615524.4444444445</v>
      </c>
      <c r="D3" s="5">
        <f>J15</f>
        <v>307762.22222222225</v>
      </c>
    </row>
    <row r="4" spans="1:12" x14ac:dyDescent="0.25">
      <c r="B4" s="22" t="s">
        <v>49</v>
      </c>
      <c r="C4" s="24"/>
      <c r="D4" s="25">
        <f>SUM(D3:D3)</f>
        <v>307762.22222222225</v>
      </c>
      <c r="E4" s="24"/>
    </row>
    <row r="5" spans="1:12" x14ac:dyDescent="0.25">
      <c r="B5" s="26" t="s">
        <v>50</v>
      </c>
      <c r="C5" s="27"/>
      <c r="D5" s="28"/>
      <c r="E5" s="27"/>
    </row>
    <row r="6" spans="1:12" x14ac:dyDescent="0.25">
      <c r="B6" s="26" t="s">
        <v>53</v>
      </c>
      <c r="C6" s="27"/>
      <c r="D6" s="28">
        <f>+D4-D5</f>
        <v>307762.22222222225</v>
      </c>
      <c r="E6" s="27"/>
      <c r="G6" s="13"/>
      <c r="H6" s="29"/>
      <c r="I6" s="30"/>
    </row>
    <row r="7" spans="1:12" x14ac:dyDescent="0.25">
      <c r="B7" s="31" t="s">
        <v>54</v>
      </c>
      <c r="C7" s="32"/>
      <c r="D7" s="33">
        <f>+D6/F1</f>
        <v>674.91715399610143</v>
      </c>
      <c r="E7" s="32"/>
    </row>
    <row r="8" spans="1:12" x14ac:dyDescent="0.25">
      <c r="B8" s="26" t="s">
        <v>51</v>
      </c>
      <c r="C8" s="27"/>
      <c r="D8" s="34">
        <f>'Monto de factura'!F7</f>
        <v>224299.25800000003</v>
      </c>
      <c r="E8" s="27"/>
    </row>
    <row r="9" spans="1:12" x14ac:dyDescent="0.25">
      <c r="B9" s="26" t="s">
        <v>65</v>
      </c>
      <c r="C9" s="27"/>
      <c r="D9" s="34">
        <f>+D6-D8</f>
        <v>83462.964222222217</v>
      </c>
      <c r="E9" s="27"/>
    </row>
    <row r="10" spans="1:12" x14ac:dyDescent="0.25">
      <c r="B10" s="35" t="s">
        <v>52</v>
      </c>
      <c r="C10" s="14"/>
      <c r="D10" s="36">
        <f>+D9/F1</f>
        <v>183.03281627680312</v>
      </c>
      <c r="E10" s="14"/>
    </row>
    <row r="11" spans="1:12" x14ac:dyDescent="0.25">
      <c r="B11" s="12"/>
      <c r="D11" s="30"/>
    </row>
    <row r="12" spans="1:12" x14ac:dyDescent="0.25">
      <c r="C12" s="15"/>
      <c r="E12" s="16"/>
      <c r="L12" s="12"/>
    </row>
    <row r="13" spans="1:12" x14ac:dyDescent="0.25">
      <c r="A13" s="37"/>
      <c r="B13" s="24"/>
      <c r="C13" s="38">
        <v>0.26669999999999999</v>
      </c>
      <c r="D13" s="39">
        <f>+D15/B15</f>
        <v>8.3333333333333343E-2</v>
      </c>
      <c r="E13" s="38">
        <v>1.0999999999999999E-2</v>
      </c>
      <c r="F13" s="38">
        <f>+F15/B15</f>
        <v>3.888888888888889E-2</v>
      </c>
      <c r="G13" s="39">
        <f>+G15/B15</f>
        <v>8.3333333333333343E-2</v>
      </c>
      <c r="H13" s="39">
        <f>+H15/B15</f>
        <v>5.5555555555555559E-2</v>
      </c>
      <c r="I13" s="24"/>
      <c r="J13" s="24"/>
    </row>
    <row r="14" spans="1:12" x14ac:dyDescent="0.25">
      <c r="A14" s="37"/>
      <c r="B14" s="40" t="s">
        <v>55</v>
      </c>
      <c r="C14" s="40" t="s">
        <v>56</v>
      </c>
      <c r="D14" s="40" t="s">
        <v>57</v>
      </c>
      <c r="E14" s="40" t="s">
        <v>37</v>
      </c>
      <c r="F14" s="40" t="s">
        <v>58</v>
      </c>
      <c r="G14" s="40" t="s">
        <v>59</v>
      </c>
      <c r="H14" s="40" t="s">
        <v>60</v>
      </c>
      <c r="I14" s="40" t="s">
        <v>61</v>
      </c>
      <c r="J14" s="40" t="s">
        <v>66</v>
      </c>
    </row>
    <row r="15" spans="1:12" x14ac:dyDescent="0.25">
      <c r="A15" s="15" t="s">
        <v>64</v>
      </c>
      <c r="B15" s="16">
        <f>400000</f>
        <v>400000</v>
      </c>
      <c r="C15" s="16">
        <f>+B15*$C$13</f>
        <v>106680</v>
      </c>
      <c r="D15" s="16">
        <f>+B15/12</f>
        <v>33333.333333333336</v>
      </c>
      <c r="E15" s="16">
        <f>+B15*$E$13</f>
        <v>4400</v>
      </c>
      <c r="F15" s="16">
        <f>+((B15/30)*14)/12</f>
        <v>15555.555555555557</v>
      </c>
      <c r="G15" s="16">
        <f>+B15/12</f>
        <v>33333.333333333336</v>
      </c>
      <c r="H15" s="16">
        <f>+(B15/30*20)/12</f>
        <v>22222.222222222223</v>
      </c>
      <c r="I15" s="42">
        <f>SUM(B15:H15)</f>
        <v>615524.4444444445</v>
      </c>
      <c r="J15" s="43">
        <f>I15/2</f>
        <v>307762.22222222225</v>
      </c>
    </row>
    <row r="16" spans="1:12" x14ac:dyDescent="0.25">
      <c r="A16" s="15"/>
      <c r="B16" s="17" t="s">
        <v>62</v>
      </c>
      <c r="C16" s="17" t="s">
        <v>62</v>
      </c>
      <c r="D16" s="17" t="s">
        <v>62</v>
      </c>
      <c r="E16" s="17" t="s">
        <v>62</v>
      </c>
      <c r="F16" s="17" t="s">
        <v>63</v>
      </c>
      <c r="G16" s="17" t="s">
        <v>63</v>
      </c>
      <c r="H16" s="17" t="s">
        <v>63</v>
      </c>
    </row>
    <row r="17" spans="1:6" x14ac:dyDescent="0.25">
      <c r="A17" s="15"/>
      <c r="C17" s="16"/>
      <c r="D17" s="41"/>
    </row>
    <row r="18" spans="1:6" x14ac:dyDescent="0.25">
      <c r="A18" s="15"/>
      <c r="C18" s="19">
        <f>SUM(C15:C17)</f>
        <v>106680</v>
      </c>
      <c r="D18" s="41"/>
    </row>
    <row r="19" spans="1:6" x14ac:dyDescent="0.25">
      <c r="C19" s="15"/>
      <c r="E19" s="16"/>
      <c r="F19" s="41"/>
    </row>
    <row r="21" spans="1:6" x14ac:dyDescent="0.25">
      <c r="D21" s="18"/>
    </row>
    <row r="22" spans="1:6" x14ac:dyDescent="0.25">
      <c r="C22" s="18"/>
    </row>
    <row r="24" spans="1:6" x14ac:dyDescent="0.25">
      <c r="C24" s="18"/>
    </row>
  </sheetData>
  <mergeCells count="1">
    <mergeCell ref="A1:E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Detalle</vt:lpstr>
      <vt:lpstr>Monto de factura</vt:lpstr>
      <vt:lpstr>REBAJO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Angie Bermudez</cp:lastModifiedBy>
  <dcterms:created xsi:type="dcterms:W3CDTF">2019-01-22T21:10:51Z</dcterms:created>
  <dcterms:modified xsi:type="dcterms:W3CDTF">2026-07-20T20:39:44Z</dcterms:modified>
</cp:coreProperties>
</file>